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nograma (Gantt)" sheetId="1" state="visible" r:id="rId1"/>
    <sheet xmlns:r="http://schemas.openxmlformats.org/officeDocument/2006/relationships" name="Lista de hitos" sheetId="2" state="visible" r:id="rId2"/>
    <sheet xmlns:r="http://schemas.openxmlformats.org/officeDocument/2006/relationships" name="Carga por persona" sheetId="3" state="visible" r:id="rId3"/>
    <sheet xmlns:r="http://schemas.openxmlformats.org/officeDocument/2006/relationships" name="Reserva y supuestos" sheetId="4" state="visible" r:id="rId4"/>
  </sheets>
  <definedNames>
    <definedName name="_xlnm._FilterDatabase" localSheetId="0" hidden="1">'Cronograma (Gantt)'!$A$6:$N$111</definedName>
    <definedName name="_xlnm.Print_Titles" localSheetId="0">'Cronograma (Gantt)'!$6:$6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d"/>
    <numFmt numFmtId="166" formatCode="dd/mm/yy"/>
    <numFmt numFmtId="167" formatCode="dd/mm/yyyy"/>
    <numFmt numFmtId="168" formatCode="dd/mm"/>
    <numFmt numFmtId="169" formatCode="0.0"/>
  </numFmts>
  <fonts count="16">
    <font>
      <name val="Calibri"/>
      <family val="2"/>
      <color theme="1"/>
      <sz val="11"/>
      <scheme val="minor"/>
    </font>
    <font>
      <name val="Calibri"/>
      <b val="1"/>
      <color rgb="00003366"/>
      <sz val="16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b val="1"/>
      <sz val="9"/>
    </font>
    <font>
      <name val="Calibri"/>
      <b val="1"/>
      <color rgb="00FFE699"/>
      <sz val="8"/>
    </font>
    <font>
      <name val="Calibri"/>
      <b val="1"/>
      <color rgb="00FFFFFF"/>
      <sz val="8"/>
    </font>
    <font>
      <name val="Calibri"/>
      <sz val="9"/>
    </font>
    <font>
      <name val="Calibri"/>
      <b val="1"/>
    </font>
    <font>
      <name val="Calibri"/>
      <b val="1"/>
      <color rgb="00B4365F"/>
      <sz val="10"/>
    </font>
    <font>
      <name val="Calibri"/>
      <b val="1"/>
      <color rgb="00003366"/>
      <sz val="14"/>
    </font>
    <font>
      <name val="Calibri"/>
      <b val="1"/>
      <color rgb="00FFFFFF"/>
    </font>
    <font>
      <name val="Calibri"/>
      <sz val="10"/>
    </font>
    <font>
      <name val="Calibri"/>
      <b val="1"/>
      <color rgb="00777777"/>
      <sz val="9"/>
    </font>
    <font>
      <name val="Calibri"/>
      <b val="1"/>
      <color rgb="00FFFFFF"/>
      <sz val="9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E1EA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FFFF00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hair">
        <color rgb="00E0E0E0"/>
      </left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/>
    </xf>
    <xf numFmtId="165" fontId="6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/>
    </xf>
    <xf numFmtId="166" fontId="4" fillId="3" borderId="1" applyAlignment="1" pivotButton="0" quotePrefix="0" xfId="0">
      <alignment horizontal="center" vertical="top"/>
    </xf>
    <xf numFmtId="9" fontId="4" fillId="3" borderId="1" applyAlignment="1" pivotButton="0" quotePrefix="0" xfId="0">
      <alignment horizontal="center" vertical="top"/>
    </xf>
    <xf numFmtId="0" fontId="0" fillId="0" borderId="2" pivotButton="0" quotePrefix="0" xfId="0"/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/>
    </xf>
    <xf numFmtId="166" fontId="7" fillId="0" borderId="1" applyAlignment="1" pivotButton="0" quotePrefix="0" xfId="0">
      <alignment horizontal="center" vertical="top"/>
    </xf>
    <xf numFmtId="9" fontId="7" fillId="0" borderId="1" applyAlignment="1" pivotButton="0" quotePrefix="0" xfId="0">
      <alignment horizontal="center" vertical="top"/>
    </xf>
    <xf numFmtId="0" fontId="9" fillId="0" borderId="2" applyAlignment="1" pivotButton="0" quotePrefix="0" xfId="0">
      <alignment horizontal="center"/>
    </xf>
    <xf numFmtId="9" fontId="7" fillId="4" borderId="1" applyAlignment="1" pivotButton="0" quotePrefix="0" xfId="0">
      <alignment horizontal="center" vertical="top"/>
    </xf>
    <xf numFmtId="0" fontId="0" fillId="5" borderId="1" pivotButton="0" quotePrefix="0" xfId="0"/>
    <xf numFmtId="0" fontId="8" fillId="5" borderId="1" pivotButton="0" quotePrefix="0" xfId="0"/>
    <xf numFmtId="166" fontId="0" fillId="5" borderId="1" pivotButton="0" quotePrefix="0" xfId="0"/>
    <xf numFmtId="9" fontId="0" fillId="5" borderId="1" pivotButton="0" quotePrefix="0" xfId="0"/>
    <xf numFmtId="0" fontId="10" fillId="0" borderId="0" pivotButton="0" quotePrefix="0" xfId="0"/>
    <xf numFmtId="0" fontId="11" fillId="2" borderId="1" applyAlignment="1" pivotButton="0" quotePrefix="0" xfId="0">
      <alignment horizontal="center" wrapText="1"/>
    </xf>
    <xf numFmtId="0" fontId="12" fillId="0" borderId="1" applyAlignment="1" pivotButton="0" quotePrefix="0" xfId="0">
      <alignment vertical="top" wrapText="1"/>
    </xf>
    <xf numFmtId="167" fontId="12" fillId="0" borderId="1" applyAlignment="1" pivotButton="0" quotePrefix="0" xfId="0">
      <alignment vertical="top" wrapText="1"/>
    </xf>
    <xf numFmtId="0" fontId="12" fillId="4" borderId="1" applyAlignment="1" pivotButton="0" quotePrefix="0" xfId="0">
      <alignment vertical="top" wrapText="1"/>
    </xf>
    <xf numFmtId="0" fontId="8" fillId="0" borderId="0" pivotButton="0" quotePrefix="0" xfId="0"/>
    <xf numFmtId="0" fontId="0" fillId="6" borderId="0" pivotButton="0" quotePrefix="0" xfId="0"/>
    <xf numFmtId="0" fontId="11" fillId="2" borderId="0" pivotButton="0" quotePrefix="0" xfId="0"/>
    <xf numFmtId="0" fontId="14" fillId="2" borderId="0" applyAlignment="1" pivotButton="0" quotePrefix="0" xfId="0">
      <alignment horizontal="center" wrapText="1"/>
    </xf>
    <xf numFmtId="0" fontId="8" fillId="0" borderId="1" pivotButton="0" quotePrefix="0" xfId="0"/>
    <xf numFmtId="169" fontId="0" fillId="0" borderId="1" pivotButton="0" quotePrefix="0" xfId="0"/>
    <xf numFmtId="1" fontId="0" fillId="0" borderId="1" pivotButton="0" quotePrefix="0" xfId="0"/>
    <xf numFmtId="1" fontId="0" fillId="0" borderId="0" pivotButton="0" quotePrefix="0" xfId="0"/>
    <xf numFmtId="0" fontId="15" fillId="0" borderId="0" pivotButton="0" quotePrefix="0" xfId="0"/>
    <xf numFmtId="168" fontId="0" fillId="0" borderId="0" pivotButton="0" quotePrefix="0" xfId="0"/>
    <xf numFmtId="0" fontId="13" fillId="0" borderId="0" pivotButton="0" quotePrefix="0" xfId="0"/>
    <xf numFmtId="16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1F4E79"/>
        </patternFill>
      </fill>
    </dxf>
    <dxf>
      <fill>
        <patternFill patternType="solid">
          <fgColor rgb="005B9BD5"/>
        </patternFill>
      </fill>
    </dxf>
    <dxf>
      <fill>
        <patternFill patternType="solid">
          <fgColor rgb="008C9AA8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114"/>
  <sheetViews>
    <sheetView zoomScale="85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52" customWidth="1" min="3" max="3"/>
    <col width="8" customWidth="1" min="4" max="4"/>
    <col width="17" customWidth="1" min="5" max="5"/>
    <col width="17" customWidth="1" min="6" max="6"/>
    <col width="9" customWidth="1" min="7" max="7"/>
    <col width="9" customWidth="1" min="8" max="8"/>
    <col width="10" customWidth="1" min="9" max="9"/>
    <col width="10" customWidth="1" min="10" max="10"/>
    <col width="18" customWidth="1" min="11" max="11"/>
    <col width="12" customWidth="1" min="12" max="12"/>
    <col width="9" customWidth="1" min="13" max="13"/>
    <col width="10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  <col width="2.6" customWidth="1" min="64" max="64"/>
    <col width="2.6" customWidth="1" min="65" max="65"/>
    <col width="2.6" customWidth="1" min="66" max="66"/>
    <col width="2.6" customWidth="1" min="67" max="67"/>
    <col width="2.6" customWidth="1" min="68" max="68"/>
    <col width="2.6" customWidth="1" min="69" max="69"/>
    <col width="2.6" customWidth="1" min="70" max="70"/>
    <col width="2.6" customWidth="1" min="71" max="71"/>
    <col width="2.6" customWidth="1" min="72" max="72"/>
  </cols>
  <sheetData>
    <row r="1">
      <c r="A1" s="1" t="inlineStr">
        <is>
          <t>Cronograma del proyecto GASTRO-SIM – Diagrama de Gantt</t>
        </is>
      </c>
    </row>
    <row r="2">
      <c r="A2" s="2" t="inlineStr">
        <is>
          <t>Línea base v1.0 · 11/10/2026 · Equipo ITEVOLUTION · Calendario de 7 días · Dedicación supuesta: 3 h por persona y día (≈ 21 h/semana) · Fuente: EDT v1.0, Matriz de Trazabilidad v1.3 y MoSCoW v1.3</t>
        </is>
      </c>
    </row>
    <row r="3">
      <c r="A3" s="2" t="inlineStr">
        <is>
          <t>Barras: azul = actividad; gris = fase; ◆ = hito (duración 0). Celdas amarillas: % completado (actualizar cada semana).</t>
        </is>
      </c>
    </row>
    <row r="5">
      <c r="O5" s="3" t="inlineStr">
        <is>
          <t>oct</t>
        </is>
      </c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inlineStr">
        <is>
          <t>nov</t>
        </is>
      </c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</row>
    <row r="6" ht="30" customHeight="1">
      <c r="A6" s="4" t="inlineStr">
        <is>
          <t>ID</t>
        </is>
      </c>
      <c r="B6" s="4" t="inlineStr">
        <is>
          <t>EDT</t>
        </is>
      </c>
      <c r="C6" s="4" t="inlineStr">
        <is>
          <t>Actividad / hito</t>
        </is>
      </c>
      <c r="D6" s="4" t="inlineStr">
        <is>
          <t>Tipo</t>
        </is>
      </c>
      <c r="E6" s="4" t="inlineStr">
        <is>
          <t>Responsable</t>
        </is>
      </c>
      <c r="F6" s="4" t="inlineStr">
        <is>
          <t>Ejecuta</t>
        </is>
      </c>
      <c r="G6" s="4" t="inlineStr">
        <is>
          <t>Esfuerzo (h)</t>
        </is>
      </c>
      <c r="H6" s="4" t="inlineStr">
        <is>
          <t>Duración (días)</t>
        </is>
      </c>
      <c r="I6" s="4" t="inlineStr">
        <is>
          <t>Inicio</t>
        </is>
      </c>
      <c r="J6" s="4" t="inlineStr">
        <is>
          <t>Fin</t>
        </is>
      </c>
      <c r="K6" s="4" t="inlineStr">
        <is>
          <t>Predecesoras</t>
        </is>
      </c>
      <c r="L6" s="4" t="inlineStr">
        <is>
          <t>Ciclo</t>
        </is>
      </c>
      <c r="M6" s="4" t="inlineStr">
        <is>
          <t>Prioridad</t>
        </is>
      </c>
      <c r="N6" s="4" t="inlineStr">
        <is>
          <t>% completado</t>
        </is>
      </c>
      <c r="O6" s="5" t="n">
        <v>46298</v>
      </c>
      <c r="P6" s="5" t="n">
        <v>46299</v>
      </c>
      <c r="Q6" s="6" t="n">
        <v>46300</v>
      </c>
      <c r="R6" s="6" t="n">
        <v>46301</v>
      </c>
      <c r="S6" s="6" t="n">
        <v>46302</v>
      </c>
      <c r="T6" s="6" t="n">
        <v>46303</v>
      </c>
      <c r="U6" s="6" t="n">
        <v>46304</v>
      </c>
      <c r="V6" s="5" t="n">
        <v>46305</v>
      </c>
      <c r="W6" s="5" t="n">
        <v>46306</v>
      </c>
      <c r="X6" s="6" t="n">
        <v>46307</v>
      </c>
      <c r="Y6" s="6" t="n">
        <v>46308</v>
      </c>
      <c r="Z6" s="6" t="n">
        <v>46309</v>
      </c>
      <c r="AA6" s="6" t="n">
        <v>46310</v>
      </c>
      <c r="AB6" s="6" t="n">
        <v>46311</v>
      </c>
      <c r="AC6" s="5" t="n">
        <v>46312</v>
      </c>
      <c r="AD6" s="5" t="n">
        <v>46313</v>
      </c>
      <c r="AE6" s="6" t="n">
        <v>46314</v>
      </c>
      <c r="AF6" s="6" t="n">
        <v>46315</v>
      </c>
      <c r="AG6" s="6" t="n">
        <v>46316</v>
      </c>
      <c r="AH6" s="6" t="n">
        <v>46317</v>
      </c>
      <c r="AI6" s="6" t="n">
        <v>46318</v>
      </c>
      <c r="AJ6" s="5" t="n">
        <v>46319</v>
      </c>
      <c r="AK6" s="5" t="n">
        <v>46320</v>
      </c>
      <c r="AL6" s="6" t="n">
        <v>46321</v>
      </c>
      <c r="AM6" s="6" t="n">
        <v>46322</v>
      </c>
      <c r="AN6" s="6" t="n">
        <v>46323</v>
      </c>
      <c r="AO6" s="6" t="n">
        <v>46324</v>
      </c>
      <c r="AP6" s="6" t="n">
        <v>46325</v>
      </c>
      <c r="AQ6" s="5" t="n">
        <v>46326</v>
      </c>
      <c r="AR6" s="5" t="n">
        <v>46327</v>
      </c>
      <c r="AS6" s="6" t="n">
        <v>46328</v>
      </c>
      <c r="AT6" s="6" t="n">
        <v>46329</v>
      </c>
      <c r="AU6" s="6" t="n">
        <v>46330</v>
      </c>
      <c r="AV6" s="6" t="n">
        <v>46331</v>
      </c>
      <c r="AW6" s="6" t="n">
        <v>46332</v>
      </c>
      <c r="AX6" s="5" t="n">
        <v>46333</v>
      </c>
      <c r="AY6" s="5" t="n">
        <v>46334</v>
      </c>
      <c r="AZ6" s="6" t="n">
        <v>46335</v>
      </c>
      <c r="BA6" s="6" t="n">
        <v>46336</v>
      </c>
      <c r="BB6" s="6" t="n">
        <v>46337</v>
      </c>
      <c r="BC6" s="6" t="n">
        <v>46338</v>
      </c>
      <c r="BD6" s="6" t="n">
        <v>46339</v>
      </c>
      <c r="BE6" s="5" t="n">
        <v>46340</v>
      </c>
      <c r="BF6" s="5" t="n">
        <v>46341</v>
      </c>
      <c r="BG6" s="6" t="n">
        <v>46342</v>
      </c>
      <c r="BH6" s="6" t="n">
        <v>46343</v>
      </c>
      <c r="BI6" s="6" t="n">
        <v>46344</v>
      </c>
      <c r="BJ6" s="6" t="n">
        <v>46345</v>
      </c>
      <c r="BK6" s="6" t="n">
        <v>46346</v>
      </c>
      <c r="BL6" s="5" t="n">
        <v>46347</v>
      </c>
      <c r="BM6" s="5" t="n">
        <v>46348</v>
      </c>
      <c r="BN6" s="6" t="n">
        <v>46349</v>
      </c>
      <c r="BO6" s="6" t="n">
        <v>46350</v>
      </c>
      <c r="BP6" s="6" t="n">
        <v>46351</v>
      </c>
      <c r="BQ6" s="6" t="n">
        <v>46352</v>
      </c>
      <c r="BR6" s="6" t="n">
        <v>46353</v>
      </c>
      <c r="BS6" s="5" t="n">
        <v>46354</v>
      </c>
      <c r="BT6" s="5" t="n">
        <v>46355</v>
      </c>
    </row>
    <row r="7">
      <c r="A7" s="7" t="inlineStr"/>
      <c r="B7" s="7" t="inlineStr"/>
      <c r="C7" s="8" t="inlineStr">
        <is>
          <t>HITOS DEL PROYECTO</t>
        </is>
      </c>
      <c r="D7" s="7" t="inlineStr">
        <is>
          <t>Fase</t>
        </is>
      </c>
      <c r="E7" s="9" t="inlineStr"/>
      <c r="F7" s="9" t="inlineStr"/>
      <c r="G7" s="7" t="n"/>
      <c r="H7" s="7">
        <f>IF(D7="Hito",0,J7-I7+1)</f>
        <v/>
      </c>
      <c r="I7" s="10">
        <f>MIN(I8:I20)</f>
        <v/>
      </c>
      <c r="J7" s="10">
        <f>MAX(J8:J20)</f>
        <v/>
      </c>
      <c r="K7" s="8" t="inlineStr"/>
      <c r="L7" s="7" t="inlineStr"/>
      <c r="M7" s="7" t="inlineStr"/>
      <c r="N7" s="11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12" t="n"/>
      <c r="BS7" s="12" t="n"/>
      <c r="BT7" s="12" t="n"/>
    </row>
    <row r="8">
      <c r="A8" s="13" t="inlineStr">
        <is>
          <t>H01</t>
        </is>
      </c>
      <c r="B8" s="13" t="inlineStr"/>
      <c r="C8" s="14" t="inlineStr">
        <is>
          <t>Proyecto iniciado: equipo y roles definidos</t>
        </is>
      </c>
      <c r="D8" s="13" t="inlineStr">
        <is>
          <t>Hito</t>
        </is>
      </c>
      <c r="E8" s="15" t="inlineStr">
        <is>
          <t>Emmanuel Ospina</t>
        </is>
      </c>
      <c r="F8" s="15" t="inlineStr"/>
      <c r="G8" s="13" t="n">
        <v>0</v>
      </c>
      <c r="H8" s="13">
        <f>IF(D8="Hito",0,J8-I8+1)</f>
        <v/>
      </c>
      <c r="I8" s="16" t="n">
        <v>46298</v>
      </c>
      <c r="J8" s="16" t="n">
        <v>46298</v>
      </c>
      <c r="K8" s="14" t="inlineStr"/>
      <c r="L8" s="13" t="inlineStr"/>
      <c r="M8" s="13" t="inlineStr">
        <is>
          <t>Obligatorio</t>
        </is>
      </c>
      <c r="N8" s="17" t="n">
        <v>1</v>
      </c>
      <c r="O8" s="18">
        <f>IF(O$6=$I8,"◆","")</f>
        <v/>
      </c>
      <c r="P8" s="18">
        <f>IF(P$6=$I8,"◆","")</f>
        <v/>
      </c>
      <c r="Q8" s="18">
        <f>IF(Q$6=$I8,"◆","")</f>
        <v/>
      </c>
      <c r="R8" s="18">
        <f>IF(R$6=$I8,"◆","")</f>
        <v/>
      </c>
      <c r="S8" s="18">
        <f>IF(S$6=$I8,"◆","")</f>
        <v/>
      </c>
      <c r="T8" s="18">
        <f>IF(T$6=$I8,"◆","")</f>
        <v/>
      </c>
      <c r="U8" s="18">
        <f>IF(U$6=$I8,"◆","")</f>
        <v/>
      </c>
      <c r="V8" s="18">
        <f>IF(V$6=$I8,"◆","")</f>
        <v/>
      </c>
      <c r="W8" s="18">
        <f>IF(W$6=$I8,"◆","")</f>
        <v/>
      </c>
      <c r="X8" s="18">
        <f>IF(X$6=$I8,"◆","")</f>
        <v/>
      </c>
      <c r="Y8" s="18">
        <f>IF(Y$6=$I8,"◆","")</f>
        <v/>
      </c>
      <c r="Z8" s="18">
        <f>IF(Z$6=$I8,"◆","")</f>
        <v/>
      </c>
      <c r="AA8" s="18">
        <f>IF(AA$6=$I8,"◆","")</f>
        <v/>
      </c>
      <c r="AB8" s="18">
        <f>IF(AB$6=$I8,"◆","")</f>
        <v/>
      </c>
      <c r="AC8" s="18">
        <f>IF(AC$6=$I8,"◆","")</f>
        <v/>
      </c>
      <c r="AD8" s="18">
        <f>IF(AD$6=$I8,"◆","")</f>
        <v/>
      </c>
      <c r="AE8" s="18">
        <f>IF(AE$6=$I8,"◆","")</f>
        <v/>
      </c>
      <c r="AF8" s="18">
        <f>IF(AF$6=$I8,"◆","")</f>
        <v/>
      </c>
      <c r="AG8" s="18">
        <f>IF(AG$6=$I8,"◆","")</f>
        <v/>
      </c>
      <c r="AH8" s="18">
        <f>IF(AH$6=$I8,"◆","")</f>
        <v/>
      </c>
      <c r="AI8" s="18">
        <f>IF(AI$6=$I8,"◆","")</f>
        <v/>
      </c>
      <c r="AJ8" s="18">
        <f>IF(AJ$6=$I8,"◆","")</f>
        <v/>
      </c>
      <c r="AK8" s="18">
        <f>IF(AK$6=$I8,"◆","")</f>
        <v/>
      </c>
      <c r="AL8" s="18">
        <f>IF(AL$6=$I8,"◆","")</f>
        <v/>
      </c>
      <c r="AM8" s="18">
        <f>IF(AM$6=$I8,"◆","")</f>
        <v/>
      </c>
      <c r="AN8" s="18">
        <f>IF(AN$6=$I8,"◆","")</f>
        <v/>
      </c>
      <c r="AO8" s="18">
        <f>IF(AO$6=$I8,"◆","")</f>
        <v/>
      </c>
      <c r="AP8" s="18">
        <f>IF(AP$6=$I8,"◆","")</f>
        <v/>
      </c>
      <c r="AQ8" s="18">
        <f>IF(AQ$6=$I8,"◆","")</f>
        <v/>
      </c>
      <c r="AR8" s="18">
        <f>IF(AR$6=$I8,"◆","")</f>
        <v/>
      </c>
      <c r="AS8" s="18">
        <f>IF(AS$6=$I8,"◆","")</f>
        <v/>
      </c>
      <c r="AT8" s="18">
        <f>IF(AT$6=$I8,"◆","")</f>
        <v/>
      </c>
      <c r="AU8" s="18">
        <f>IF(AU$6=$I8,"◆","")</f>
        <v/>
      </c>
      <c r="AV8" s="18">
        <f>IF(AV$6=$I8,"◆","")</f>
        <v/>
      </c>
      <c r="AW8" s="18">
        <f>IF(AW$6=$I8,"◆","")</f>
        <v/>
      </c>
      <c r="AX8" s="18">
        <f>IF(AX$6=$I8,"◆","")</f>
        <v/>
      </c>
      <c r="AY8" s="18">
        <f>IF(AY$6=$I8,"◆","")</f>
        <v/>
      </c>
      <c r="AZ8" s="18">
        <f>IF(AZ$6=$I8,"◆","")</f>
        <v/>
      </c>
      <c r="BA8" s="18">
        <f>IF(BA$6=$I8,"◆","")</f>
        <v/>
      </c>
      <c r="BB8" s="18">
        <f>IF(BB$6=$I8,"◆","")</f>
        <v/>
      </c>
      <c r="BC8" s="18">
        <f>IF(BC$6=$I8,"◆","")</f>
        <v/>
      </c>
      <c r="BD8" s="18">
        <f>IF(BD$6=$I8,"◆","")</f>
        <v/>
      </c>
      <c r="BE8" s="18">
        <f>IF(BE$6=$I8,"◆","")</f>
        <v/>
      </c>
      <c r="BF8" s="18">
        <f>IF(BF$6=$I8,"◆","")</f>
        <v/>
      </c>
      <c r="BG8" s="18">
        <f>IF(BG$6=$I8,"◆","")</f>
        <v/>
      </c>
      <c r="BH8" s="18">
        <f>IF(BH$6=$I8,"◆","")</f>
        <v/>
      </c>
      <c r="BI8" s="18">
        <f>IF(BI$6=$I8,"◆","")</f>
        <v/>
      </c>
      <c r="BJ8" s="18">
        <f>IF(BJ$6=$I8,"◆","")</f>
        <v/>
      </c>
      <c r="BK8" s="18">
        <f>IF(BK$6=$I8,"◆","")</f>
        <v/>
      </c>
      <c r="BL8" s="18">
        <f>IF(BL$6=$I8,"◆","")</f>
        <v/>
      </c>
      <c r="BM8" s="18">
        <f>IF(BM$6=$I8,"◆","")</f>
        <v/>
      </c>
      <c r="BN8" s="18">
        <f>IF(BN$6=$I8,"◆","")</f>
        <v/>
      </c>
      <c r="BO8" s="18">
        <f>IF(BO$6=$I8,"◆","")</f>
        <v/>
      </c>
      <c r="BP8" s="18">
        <f>IF(BP$6=$I8,"◆","")</f>
        <v/>
      </c>
      <c r="BQ8" s="18">
        <f>IF(BQ$6=$I8,"◆","")</f>
        <v/>
      </c>
      <c r="BR8" s="18">
        <f>IF(BR$6=$I8,"◆","")</f>
        <v/>
      </c>
      <c r="BS8" s="18">
        <f>IF(BS$6=$I8,"◆","")</f>
        <v/>
      </c>
      <c r="BT8" s="18">
        <f>IF(BT$6=$I8,"◆","")</f>
        <v/>
      </c>
    </row>
    <row r="9">
      <c r="A9" s="13" t="inlineStr">
        <is>
          <t>H02</t>
        </is>
      </c>
      <c r="B9" s="13" t="inlineStr"/>
      <c r="C9" s="14" t="inlineStr">
        <is>
          <t>Acta de Constitución y Matriz de Partes Interesadas entregadas</t>
        </is>
      </c>
      <c r="D9" s="13" t="inlineStr">
        <is>
          <t>Hito</t>
        </is>
      </c>
      <c r="E9" s="15" t="inlineStr">
        <is>
          <t>Emmanuel Ospina</t>
        </is>
      </c>
      <c r="F9" s="15" t="inlineStr"/>
      <c r="G9" s="13" t="n">
        <v>0</v>
      </c>
      <c r="H9" s="13">
        <f>IF(D9="Hito",0,J9-I9+1)</f>
        <v/>
      </c>
      <c r="I9" s="16" t="n">
        <v>46301</v>
      </c>
      <c r="J9" s="16" t="n">
        <v>46301</v>
      </c>
      <c r="K9" s="14" t="inlineStr">
        <is>
          <t>1101, 1102</t>
        </is>
      </c>
      <c r="L9" s="13" t="inlineStr"/>
      <c r="M9" s="13" t="inlineStr">
        <is>
          <t>Obligatorio</t>
        </is>
      </c>
      <c r="N9" s="17" t="n">
        <v>1</v>
      </c>
      <c r="O9" s="18">
        <f>IF(O$6=$I9,"◆","")</f>
        <v/>
      </c>
      <c r="P9" s="18">
        <f>IF(P$6=$I9,"◆","")</f>
        <v/>
      </c>
      <c r="Q9" s="18">
        <f>IF(Q$6=$I9,"◆","")</f>
        <v/>
      </c>
      <c r="R9" s="18">
        <f>IF(R$6=$I9,"◆","")</f>
        <v/>
      </c>
      <c r="S9" s="18">
        <f>IF(S$6=$I9,"◆","")</f>
        <v/>
      </c>
      <c r="T9" s="18">
        <f>IF(T$6=$I9,"◆","")</f>
        <v/>
      </c>
      <c r="U9" s="18">
        <f>IF(U$6=$I9,"◆","")</f>
        <v/>
      </c>
      <c r="V9" s="18">
        <f>IF(V$6=$I9,"◆","")</f>
        <v/>
      </c>
      <c r="W9" s="18">
        <f>IF(W$6=$I9,"◆","")</f>
        <v/>
      </c>
      <c r="X9" s="18">
        <f>IF(X$6=$I9,"◆","")</f>
        <v/>
      </c>
      <c r="Y9" s="18">
        <f>IF(Y$6=$I9,"◆","")</f>
        <v/>
      </c>
      <c r="Z9" s="18">
        <f>IF(Z$6=$I9,"◆","")</f>
        <v/>
      </c>
      <c r="AA9" s="18">
        <f>IF(AA$6=$I9,"◆","")</f>
        <v/>
      </c>
      <c r="AB9" s="18">
        <f>IF(AB$6=$I9,"◆","")</f>
        <v/>
      </c>
      <c r="AC9" s="18">
        <f>IF(AC$6=$I9,"◆","")</f>
        <v/>
      </c>
      <c r="AD9" s="18">
        <f>IF(AD$6=$I9,"◆","")</f>
        <v/>
      </c>
      <c r="AE9" s="18">
        <f>IF(AE$6=$I9,"◆","")</f>
        <v/>
      </c>
      <c r="AF9" s="18">
        <f>IF(AF$6=$I9,"◆","")</f>
        <v/>
      </c>
      <c r="AG9" s="18">
        <f>IF(AG$6=$I9,"◆","")</f>
        <v/>
      </c>
      <c r="AH9" s="18">
        <f>IF(AH$6=$I9,"◆","")</f>
        <v/>
      </c>
      <c r="AI9" s="18">
        <f>IF(AI$6=$I9,"◆","")</f>
        <v/>
      </c>
      <c r="AJ9" s="18">
        <f>IF(AJ$6=$I9,"◆","")</f>
        <v/>
      </c>
      <c r="AK9" s="18">
        <f>IF(AK$6=$I9,"◆","")</f>
        <v/>
      </c>
      <c r="AL9" s="18">
        <f>IF(AL$6=$I9,"◆","")</f>
        <v/>
      </c>
      <c r="AM9" s="18">
        <f>IF(AM$6=$I9,"◆","")</f>
        <v/>
      </c>
      <c r="AN9" s="18">
        <f>IF(AN$6=$I9,"◆","")</f>
        <v/>
      </c>
      <c r="AO9" s="18">
        <f>IF(AO$6=$I9,"◆","")</f>
        <v/>
      </c>
      <c r="AP9" s="18">
        <f>IF(AP$6=$I9,"◆","")</f>
        <v/>
      </c>
      <c r="AQ9" s="18">
        <f>IF(AQ$6=$I9,"◆","")</f>
        <v/>
      </c>
      <c r="AR9" s="18">
        <f>IF(AR$6=$I9,"◆","")</f>
        <v/>
      </c>
      <c r="AS9" s="18">
        <f>IF(AS$6=$I9,"◆","")</f>
        <v/>
      </c>
      <c r="AT9" s="18">
        <f>IF(AT$6=$I9,"◆","")</f>
        <v/>
      </c>
      <c r="AU9" s="18">
        <f>IF(AU$6=$I9,"◆","")</f>
        <v/>
      </c>
      <c r="AV9" s="18">
        <f>IF(AV$6=$I9,"◆","")</f>
        <v/>
      </c>
      <c r="AW9" s="18">
        <f>IF(AW$6=$I9,"◆","")</f>
        <v/>
      </c>
      <c r="AX9" s="18">
        <f>IF(AX$6=$I9,"◆","")</f>
        <v/>
      </c>
      <c r="AY9" s="18">
        <f>IF(AY$6=$I9,"◆","")</f>
        <v/>
      </c>
      <c r="AZ9" s="18">
        <f>IF(AZ$6=$I9,"◆","")</f>
        <v/>
      </c>
      <c r="BA9" s="18">
        <f>IF(BA$6=$I9,"◆","")</f>
        <v/>
      </c>
      <c r="BB9" s="18">
        <f>IF(BB$6=$I9,"◆","")</f>
        <v/>
      </c>
      <c r="BC9" s="18">
        <f>IF(BC$6=$I9,"◆","")</f>
        <v/>
      </c>
      <c r="BD9" s="18">
        <f>IF(BD$6=$I9,"◆","")</f>
        <v/>
      </c>
      <c r="BE9" s="18">
        <f>IF(BE$6=$I9,"◆","")</f>
        <v/>
      </c>
      <c r="BF9" s="18">
        <f>IF(BF$6=$I9,"◆","")</f>
        <v/>
      </c>
      <c r="BG9" s="18">
        <f>IF(BG$6=$I9,"◆","")</f>
        <v/>
      </c>
      <c r="BH9" s="18">
        <f>IF(BH$6=$I9,"◆","")</f>
        <v/>
      </c>
      <c r="BI9" s="18">
        <f>IF(BI$6=$I9,"◆","")</f>
        <v/>
      </c>
      <c r="BJ9" s="18">
        <f>IF(BJ$6=$I9,"◆","")</f>
        <v/>
      </c>
      <c r="BK9" s="18">
        <f>IF(BK$6=$I9,"◆","")</f>
        <v/>
      </c>
      <c r="BL9" s="18">
        <f>IF(BL$6=$I9,"◆","")</f>
        <v/>
      </c>
      <c r="BM9" s="18">
        <f>IF(BM$6=$I9,"◆","")</f>
        <v/>
      </c>
      <c r="BN9" s="18">
        <f>IF(BN$6=$I9,"◆","")</f>
        <v/>
      </c>
      <c r="BO9" s="18">
        <f>IF(BO$6=$I9,"◆","")</f>
        <v/>
      </c>
      <c r="BP9" s="18">
        <f>IF(BP$6=$I9,"◆","")</f>
        <v/>
      </c>
      <c r="BQ9" s="18">
        <f>IF(BQ$6=$I9,"◆","")</f>
        <v/>
      </c>
      <c r="BR9" s="18">
        <f>IF(BR$6=$I9,"◆","")</f>
        <v/>
      </c>
      <c r="BS9" s="18">
        <f>IF(BS$6=$I9,"◆","")</f>
        <v/>
      </c>
      <c r="BT9" s="18">
        <f>IF(BT$6=$I9,"◆","")</f>
        <v/>
      </c>
    </row>
    <row r="10">
      <c r="A10" s="13" t="inlineStr">
        <is>
          <t>H03</t>
        </is>
      </c>
      <c r="B10" s="13" t="inlineStr"/>
      <c r="C10" s="14" t="inlineStr">
        <is>
          <t>Requisitos aprobados por el Propietario del Proyecto</t>
        </is>
      </c>
      <c r="D10" s="13" t="inlineStr">
        <is>
          <t>Hito</t>
        </is>
      </c>
      <c r="E10" s="15" t="inlineStr">
        <is>
          <t>Emmanuel Ospina</t>
        </is>
      </c>
      <c r="F10" s="15" t="inlineStr"/>
      <c r="G10" s="13" t="n">
        <v>0</v>
      </c>
      <c r="H10" s="13">
        <f>IF(D10="Hito",0,J10-I10+1)</f>
        <v/>
      </c>
      <c r="I10" s="16" t="n">
        <v>46306</v>
      </c>
      <c r="J10" s="16" t="n">
        <v>46306</v>
      </c>
      <c r="K10" s="14" t="inlineStr">
        <is>
          <t>2101, 2201, 2301</t>
        </is>
      </c>
      <c r="L10" s="13" t="inlineStr"/>
      <c r="M10" s="13" t="inlineStr">
        <is>
          <t>Obligatorio</t>
        </is>
      </c>
      <c r="N10" s="17" t="n">
        <v>1</v>
      </c>
      <c r="O10" s="18">
        <f>IF(O$6=$I10,"◆","")</f>
        <v/>
      </c>
      <c r="P10" s="18">
        <f>IF(P$6=$I10,"◆","")</f>
        <v/>
      </c>
      <c r="Q10" s="18">
        <f>IF(Q$6=$I10,"◆","")</f>
        <v/>
      </c>
      <c r="R10" s="18">
        <f>IF(R$6=$I10,"◆","")</f>
        <v/>
      </c>
      <c r="S10" s="18">
        <f>IF(S$6=$I10,"◆","")</f>
        <v/>
      </c>
      <c r="T10" s="18">
        <f>IF(T$6=$I10,"◆","")</f>
        <v/>
      </c>
      <c r="U10" s="18">
        <f>IF(U$6=$I10,"◆","")</f>
        <v/>
      </c>
      <c r="V10" s="18">
        <f>IF(V$6=$I10,"◆","")</f>
        <v/>
      </c>
      <c r="W10" s="18">
        <f>IF(W$6=$I10,"◆","")</f>
        <v/>
      </c>
      <c r="X10" s="18">
        <f>IF(X$6=$I10,"◆","")</f>
        <v/>
      </c>
      <c r="Y10" s="18">
        <f>IF(Y$6=$I10,"◆","")</f>
        <v/>
      </c>
      <c r="Z10" s="18">
        <f>IF(Z$6=$I10,"◆","")</f>
        <v/>
      </c>
      <c r="AA10" s="18">
        <f>IF(AA$6=$I10,"◆","")</f>
        <v/>
      </c>
      <c r="AB10" s="18">
        <f>IF(AB$6=$I10,"◆","")</f>
        <v/>
      </c>
      <c r="AC10" s="18">
        <f>IF(AC$6=$I10,"◆","")</f>
        <v/>
      </c>
      <c r="AD10" s="18">
        <f>IF(AD$6=$I10,"◆","")</f>
        <v/>
      </c>
      <c r="AE10" s="18">
        <f>IF(AE$6=$I10,"◆","")</f>
        <v/>
      </c>
      <c r="AF10" s="18">
        <f>IF(AF$6=$I10,"◆","")</f>
        <v/>
      </c>
      <c r="AG10" s="18">
        <f>IF(AG$6=$I10,"◆","")</f>
        <v/>
      </c>
      <c r="AH10" s="18">
        <f>IF(AH$6=$I10,"◆","")</f>
        <v/>
      </c>
      <c r="AI10" s="18">
        <f>IF(AI$6=$I10,"◆","")</f>
        <v/>
      </c>
      <c r="AJ10" s="18">
        <f>IF(AJ$6=$I10,"◆","")</f>
        <v/>
      </c>
      <c r="AK10" s="18">
        <f>IF(AK$6=$I10,"◆","")</f>
        <v/>
      </c>
      <c r="AL10" s="18">
        <f>IF(AL$6=$I10,"◆","")</f>
        <v/>
      </c>
      <c r="AM10" s="18">
        <f>IF(AM$6=$I10,"◆","")</f>
        <v/>
      </c>
      <c r="AN10" s="18">
        <f>IF(AN$6=$I10,"◆","")</f>
        <v/>
      </c>
      <c r="AO10" s="18">
        <f>IF(AO$6=$I10,"◆","")</f>
        <v/>
      </c>
      <c r="AP10" s="18">
        <f>IF(AP$6=$I10,"◆","")</f>
        <v/>
      </c>
      <c r="AQ10" s="18">
        <f>IF(AQ$6=$I10,"◆","")</f>
        <v/>
      </c>
      <c r="AR10" s="18">
        <f>IF(AR$6=$I10,"◆","")</f>
        <v/>
      </c>
      <c r="AS10" s="18">
        <f>IF(AS$6=$I10,"◆","")</f>
        <v/>
      </c>
      <c r="AT10" s="18">
        <f>IF(AT$6=$I10,"◆","")</f>
        <v/>
      </c>
      <c r="AU10" s="18">
        <f>IF(AU$6=$I10,"◆","")</f>
        <v/>
      </c>
      <c r="AV10" s="18">
        <f>IF(AV$6=$I10,"◆","")</f>
        <v/>
      </c>
      <c r="AW10" s="18">
        <f>IF(AW$6=$I10,"◆","")</f>
        <v/>
      </c>
      <c r="AX10" s="18">
        <f>IF(AX$6=$I10,"◆","")</f>
        <v/>
      </c>
      <c r="AY10" s="18">
        <f>IF(AY$6=$I10,"◆","")</f>
        <v/>
      </c>
      <c r="AZ10" s="18">
        <f>IF(AZ$6=$I10,"◆","")</f>
        <v/>
      </c>
      <c r="BA10" s="18">
        <f>IF(BA$6=$I10,"◆","")</f>
        <v/>
      </c>
      <c r="BB10" s="18">
        <f>IF(BB$6=$I10,"◆","")</f>
        <v/>
      </c>
      <c r="BC10" s="18">
        <f>IF(BC$6=$I10,"◆","")</f>
        <v/>
      </c>
      <c r="BD10" s="18">
        <f>IF(BD$6=$I10,"◆","")</f>
        <v/>
      </c>
      <c r="BE10" s="18">
        <f>IF(BE$6=$I10,"◆","")</f>
        <v/>
      </c>
      <c r="BF10" s="18">
        <f>IF(BF$6=$I10,"◆","")</f>
        <v/>
      </c>
      <c r="BG10" s="18">
        <f>IF(BG$6=$I10,"◆","")</f>
        <v/>
      </c>
      <c r="BH10" s="18">
        <f>IF(BH$6=$I10,"◆","")</f>
        <v/>
      </c>
      <c r="BI10" s="18">
        <f>IF(BI$6=$I10,"◆","")</f>
        <v/>
      </c>
      <c r="BJ10" s="18">
        <f>IF(BJ$6=$I10,"◆","")</f>
        <v/>
      </c>
      <c r="BK10" s="18">
        <f>IF(BK$6=$I10,"◆","")</f>
        <v/>
      </c>
      <c r="BL10" s="18">
        <f>IF(BL$6=$I10,"◆","")</f>
        <v/>
      </c>
      <c r="BM10" s="18">
        <f>IF(BM$6=$I10,"◆","")</f>
        <v/>
      </c>
      <c r="BN10" s="18">
        <f>IF(BN$6=$I10,"◆","")</f>
        <v/>
      </c>
      <c r="BO10" s="18">
        <f>IF(BO$6=$I10,"◆","")</f>
        <v/>
      </c>
      <c r="BP10" s="18">
        <f>IF(BP$6=$I10,"◆","")</f>
        <v/>
      </c>
      <c r="BQ10" s="18">
        <f>IF(BQ$6=$I10,"◆","")</f>
        <v/>
      </c>
      <c r="BR10" s="18">
        <f>IF(BR$6=$I10,"◆","")</f>
        <v/>
      </c>
      <c r="BS10" s="18">
        <f>IF(BS$6=$I10,"◆","")</f>
        <v/>
      </c>
      <c r="BT10" s="18">
        <f>IF(BT$6=$I10,"◆","")</f>
        <v/>
      </c>
    </row>
    <row r="11">
      <c r="A11" s="13" t="inlineStr">
        <is>
          <t>H04</t>
        </is>
      </c>
      <c r="B11" s="13" t="inlineStr"/>
      <c r="C11" s="14" t="inlineStr">
        <is>
          <t>Línea base del alcance y del cronograma establecida (v0.1)</t>
        </is>
      </c>
      <c r="D11" s="13" t="inlineStr">
        <is>
          <t>Hito</t>
        </is>
      </c>
      <c r="E11" s="15" t="inlineStr">
        <is>
          <t>Emmanuel Ospina</t>
        </is>
      </c>
      <c r="F11" s="15" t="inlineStr"/>
      <c r="G11" s="13" t="n">
        <v>0</v>
      </c>
      <c r="H11" s="13">
        <f>IF(D11="Hito",0,J11-I11+1)</f>
        <v/>
      </c>
      <c r="I11" s="16" t="n">
        <v>46306</v>
      </c>
      <c r="J11" s="16" t="n">
        <v>46306</v>
      </c>
      <c r="K11" s="14" t="inlineStr">
        <is>
          <t>1201, 1202, 1203, 1303</t>
        </is>
      </c>
      <c r="L11" s="13" t="inlineStr"/>
      <c r="M11" s="13" t="inlineStr">
        <is>
          <t>Obligatorio</t>
        </is>
      </c>
      <c r="N11" s="17" t="n">
        <v>1</v>
      </c>
      <c r="O11" s="18">
        <f>IF(O$6=$I11,"◆","")</f>
        <v/>
      </c>
      <c r="P11" s="18">
        <f>IF(P$6=$I11,"◆","")</f>
        <v/>
      </c>
      <c r="Q11" s="18">
        <f>IF(Q$6=$I11,"◆","")</f>
        <v/>
      </c>
      <c r="R11" s="18">
        <f>IF(R$6=$I11,"◆","")</f>
        <v/>
      </c>
      <c r="S11" s="18">
        <f>IF(S$6=$I11,"◆","")</f>
        <v/>
      </c>
      <c r="T11" s="18">
        <f>IF(T$6=$I11,"◆","")</f>
        <v/>
      </c>
      <c r="U11" s="18">
        <f>IF(U$6=$I11,"◆","")</f>
        <v/>
      </c>
      <c r="V11" s="18">
        <f>IF(V$6=$I11,"◆","")</f>
        <v/>
      </c>
      <c r="W11" s="18">
        <f>IF(W$6=$I11,"◆","")</f>
        <v/>
      </c>
      <c r="X11" s="18">
        <f>IF(X$6=$I11,"◆","")</f>
        <v/>
      </c>
      <c r="Y11" s="18">
        <f>IF(Y$6=$I11,"◆","")</f>
        <v/>
      </c>
      <c r="Z11" s="18">
        <f>IF(Z$6=$I11,"◆","")</f>
        <v/>
      </c>
      <c r="AA11" s="18">
        <f>IF(AA$6=$I11,"◆","")</f>
        <v/>
      </c>
      <c r="AB11" s="18">
        <f>IF(AB$6=$I11,"◆","")</f>
        <v/>
      </c>
      <c r="AC11" s="18">
        <f>IF(AC$6=$I11,"◆","")</f>
        <v/>
      </c>
      <c r="AD11" s="18">
        <f>IF(AD$6=$I11,"◆","")</f>
        <v/>
      </c>
      <c r="AE11" s="18">
        <f>IF(AE$6=$I11,"◆","")</f>
        <v/>
      </c>
      <c r="AF11" s="18">
        <f>IF(AF$6=$I11,"◆","")</f>
        <v/>
      </c>
      <c r="AG11" s="18">
        <f>IF(AG$6=$I11,"◆","")</f>
        <v/>
      </c>
      <c r="AH11" s="18">
        <f>IF(AH$6=$I11,"◆","")</f>
        <v/>
      </c>
      <c r="AI11" s="18">
        <f>IF(AI$6=$I11,"◆","")</f>
        <v/>
      </c>
      <c r="AJ11" s="18">
        <f>IF(AJ$6=$I11,"◆","")</f>
        <v/>
      </c>
      <c r="AK11" s="18">
        <f>IF(AK$6=$I11,"◆","")</f>
        <v/>
      </c>
      <c r="AL11" s="18">
        <f>IF(AL$6=$I11,"◆","")</f>
        <v/>
      </c>
      <c r="AM11" s="18">
        <f>IF(AM$6=$I11,"◆","")</f>
        <v/>
      </c>
      <c r="AN11" s="18">
        <f>IF(AN$6=$I11,"◆","")</f>
        <v/>
      </c>
      <c r="AO11" s="18">
        <f>IF(AO$6=$I11,"◆","")</f>
        <v/>
      </c>
      <c r="AP11" s="18">
        <f>IF(AP$6=$I11,"◆","")</f>
        <v/>
      </c>
      <c r="AQ11" s="18">
        <f>IF(AQ$6=$I11,"◆","")</f>
        <v/>
      </c>
      <c r="AR11" s="18">
        <f>IF(AR$6=$I11,"◆","")</f>
        <v/>
      </c>
      <c r="AS11" s="18">
        <f>IF(AS$6=$I11,"◆","")</f>
        <v/>
      </c>
      <c r="AT11" s="18">
        <f>IF(AT$6=$I11,"◆","")</f>
        <v/>
      </c>
      <c r="AU11" s="18">
        <f>IF(AU$6=$I11,"◆","")</f>
        <v/>
      </c>
      <c r="AV11" s="18">
        <f>IF(AV$6=$I11,"◆","")</f>
        <v/>
      </c>
      <c r="AW11" s="18">
        <f>IF(AW$6=$I11,"◆","")</f>
        <v/>
      </c>
      <c r="AX11" s="18">
        <f>IF(AX$6=$I11,"◆","")</f>
        <v/>
      </c>
      <c r="AY11" s="18">
        <f>IF(AY$6=$I11,"◆","")</f>
        <v/>
      </c>
      <c r="AZ11" s="18">
        <f>IF(AZ$6=$I11,"◆","")</f>
        <v/>
      </c>
      <c r="BA11" s="18">
        <f>IF(BA$6=$I11,"◆","")</f>
        <v/>
      </c>
      <c r="BB11" s="18">
        <f>IF(BB$6=$I11,"◆","")</f>
        <v/>
      </c>
      <c r="BC11" s="18">
        <f>IF(BC$6=$I11,"◆","")</f>
        <v/>
      </c>
      <c r="BD11" s="18">
        <f>IF(BD$6=$I11,"◆","")</f>
        <v/>
      </c>
      <c r="BE11" s="18">
        <f>IF(BE$6=$I11,"◆","")</f>
        <v/>
      </c>
      <c r="BF11" s="18">
        <f>IF(BF$6=$I11,"◆","")</f>
        <v/>
      </c>
      <c r="BG11" s="18">
        <f>IF(BG$6=$I11,"◆","")</f>
        <v/>
      </c>
      <c r="BH11" s="18">
        <f>IF(BH$6=$I11,"◆","")</f>
        <v/>
      </c>
      <c r="BI11" s="18">
        <f>IF(BI$6=$I11,"◆","")</f>
        <v/>
      </c>
      <c r="BJ11" s="18">
        <f>IF(BJ$6=$I11,"◆","")</f>
        <v/>
      </c>
      <c r="BK11" s="18">
        <f>IF(BK$6=$I11,"◆","")</f>
        <v/>
      </c>
      <c r="BL11" s="18">
        <f>IF(BL$6=$I11,"◆","")</f>
        <v/>
      </c>
      <c r="BM11" s="18">
        <f>IF(BM$6=$I11,"◆","")</f>
        <v/>
      </c>
      <c r="BN11" s="18">
        <f>IF(BN$6=$I11,"◆","")</f>
        <v/>
      </c>
      <c r="BO11" s="18">
        <f>IF(BO$6=$I11,"◆","")</f>
        <v/>
      </c>
      <c r="BP11" s="18">
        <f>IF(BP$6=$I11,"◆","")</f>
        <v/>
      </c>
      <c r="BQ11" s="18">
        <f>IF(BQ$6=$I11,"◆","")</f>
        <v/>
      </c>
      <c r="BR11" s="18">
        <f>IF(BR$6=$I11,"◆","")</f>
        <v/>
      </c>
      <c r="BS11" s="18">
        <f>IF(BS$6=$I11,"◆","")</f>
        <v/>
      </c>
      <c r="BT11" s="18">
        <f>IF(BT$6=$I11,"◆","")</f>
        <v/>
      </c>
    </row>
    <row r="12">
      <c r="A12" s="13" t="inlineStr">
        <is>
          <t>H05</t>
        </is>
      </c>
      <c r="B12" s="13" t="inlineStr"/>
      <c r="C12" s="14" t="inlineStr">
        <is>
          <t>Plan de gestión de la calidad entregado</t>
        </is>
      </c>
      <c r="D12" s="13" t="inlineStr">
        <is>
          <t>Hito</t>
        </is>
      </c>
      <c r="E12" s="15" t="inlineStr">
        <is>
          <t>Emmanuel Ospina</t>
        </is>
      </c>
      <c r="F12" s="15" t="inlineStr"/>
      <c r="G12" s="13" t="n">
        <v>0</v>
      </c>
      <c r="H12" s="13">
        <f>IF(D12="Hito",0,J12-I12+1)</f>
        <v/>
      </c>
      <c r="I12" s="16" t="n">
        <v>46313</v>
      </c>
      <c r="J12" s="16" t="n">
        <v>46313</v>
      </c>
      <c r="K12" s="14" t="inlineStr">
        <is>
          <t>1204</t>
        </is>
      </c>
      <c r="L12" s="13" t="inlineStr"/>
      <c r="M12" s="13" t="inlineStr">
        <is>
          <t>Obligatorio</t>
        </is>
      </c>
      <c r="N12" s="17" t="n">
        <v>0</v>
      </c>
      <c r="O12" s="18">
        <f>IF(O$6=$I12,"◆","")</f>
        <v/>
      </c>
      <c r="P12" s="18">
        <f>IF(P$6=$I12,"◆","")</f>
        <v/>
      </c>
      <c r="Q12" s="18">
        <f>IF(Q$6=$I12,"◆","")</f>
        <v/>
      </c>
      <c r="R12" s="18">
        <f>IF(R$6=$I12,"◆","")</f>
        <v/>
      </c>
      <c r="S12" s="18">
        <f>IF(S$6=$I12,"◆","")</f>
        <v/>
      </c>
      <c r="T12" s="18">
        <f>IF(T$6=$I12,"◆","")</f>
        <v/>
      </c>
      <c r="U12" s="18">
        <f>IF(U$6=$I12,"◆","")</f>
        <v/>
      </c>
      <c r="V12" s="18">
        <f>IF(V$6=$I12,"◆","")</f>
        <v/>
      </c>
      <c r="W12" s="18">
        <f>IF(W$6=$I12,"◆","")</f>
        <v/>
      </c>
      <c r="X12" s="18">
        <f>IF(X$6=$I12,"◆","")</f>
        <v/>
      </c>
      <c r="Y12" s="18">
        <f>IF(Y$6=$I12,"◆","")</f>
        <v/>
      </c>
      <c r="Z12" s="18">
        <f>IF(Z$6=$I12,"◆","")</f>
        <v/>
      </c>
      <c r="AA12" s="18">
        <f>IF(AA$6=$I12,"◆","")</f>
        <v/>
      </c>
      <c r="AB12" s="18">
        <f>IF(AB$6=$I12,"◆","")</f>
        <v/>
      </c>
      <c r="AC12" s="18">
        <f>IF(AC$6=$I12,"◆","")</f>
        <v/>
      </c>
      <c r="AD12" s="18">
        <f>IF(AD$6=$I12,"◆","")</f>
        <v/>
      </c>
      <c r="AE12" s="18">
        <f>IF(AE$6=$I12,"◆","")</f>
        <v/>
      </c>
      <c r="AF12" s="18">
        <f>IF(AF$6=$I12,"◆","")</f>
        <v/>
      </c>
      <c r="AG12" s="18">
        <f>IF(AG$6=$I12,"◆","")</f>
        <v/>
      </c>
      <c r="AH12" s="18">
        <f>IF(AH$6=$I12,"◆","")</f>
        <v/>
      </c>
      <c r="AI12" s="18">
        <f>IF(AI$6=$I12,"◆","")</f>
        <v/>
      </c>
      <c r="AJ12" s="18">
        <f>IF(AJ$6=$I12,"◆","")</f>
        <v/>
      </c>
      <c r="AK12" s="18">
        <f>IF(AK$6=$I12,"◆","")</f>
        <v/>
      </c>
      <c r="AL12" s="18">
        <f>IF(AL$6=$I12,"◆","")</f>
        <v/>
      </c>
      <c r="AM12" s="18">
        <f>IF(AM$6=$I12,"◆","")</f>
        <v/>
      </c>
      <c r="AN12" s="18">
        <f>IF(AN$6=$I12,"◆","")</f>
        <v/>
      </c>
      <c r="AO12" s="18">
        <f>IF(AO$6=$I12,"◆","")</f>
        <v/>
      </c>
      <c r="AP12" s="18">
        <f>IF(AP$6=$I12,"◆","")</f>
        <v/>
      </c>
      <c r="AQ12" s="18">
        <f>IF(AQ$6=$I12,"◆","")</f>
        <v/>
      </c>
      <c r="AR12" s="18">
        <f>IF(AR$6=$I12,"◆","")</f>
        <v/>
      </c>
      <c r="AS12" s="18">
        <f>IF(AS$6=$I12,"◆","")</f>
        <v/>
      </c>
      <c r="AT12" s="18">
        <f>IF(AT$6=$I12,"◆","")</f>
        <v/>
      </c>
      <c r="AU12" s="18">
        <f>IF(AU$6=$I12,"◆","")</f>
        <v/>
      </c>
      <c r="AV12" s="18">
        <f>IF(AV$6=$I12,"◆","")</f>
        <v/>
      </c>
      <c r="AW12" s="18">
        <f>IF(AW$6=$I12,"◆","")</f>
        <v/>
      </c>
      <c r="AX12" s="18">
        <f>IF(AX$6=$I12,"◆","")</f>
        <v/>
      </c>
      <c r="AY12" s="18">
        <f>IF(AY$6=$I12,"◆","")</f>
        <v/>
      </c>
      <c r="AZ12" s="18">
        <f>IF(AZ$6=$I12,"◆","")</f>
        <v/>
      </c>
      <c r="BA12" s="18">
        <f>IF(BA$6=$I12,"◆","")</f>
        <v/>
      </c>
      <c r="BB12" s="18">
        <f>IF(BB$6=$I12,"◆","")</f>
        <v/>
      </c>
      <c r="BC12" s="18">
        <f>IF(BC$6=$I12,"◆","")</f>
        <v/>
      </c>
      <c r="BD12" s="18">
        <f>IF(BD$6=$I12,"◆","")</f>
        <v/>
      </c>
      <c r="BE12" s="18">
        <f>IF(BE$6=$I12,"◆","")</f>
        <v/>
      </c>
      <c r="BF12" s="18">
        <f>IF(BF$6=$I12,"◆","")</f>
        <v/>
      </c>
      <c r="BG12" s="18">
        <f>IF(BG$6=$I12,"◆","")</f>
        <v/>
      </c>
      <c r="BH12" s="18">
        <f>IF(BH$6=$I12,"◆","")</f>
        <v/>
      </c>
      <c r="BI12" s="18">
        <f>IF(BI$6=$I12,"◆","")</f>
        <v/>
      </c>
      <c r="BJ12" s="18">
        <f>IF(BJ$6=$I12,"◆","")</f>
        <v/>
      </c>
      <c r="BK12" s="18">
        <f>IF(BK$6=$I12,"◆","")</f>
        <v/>
      </c>
      <c r="BL12" s="18">
        <f>IF(BL$6=$I12,"◆","")</f>
        <v/>
      </c>
      <c r="BM12" s="18">
        <f>IF(BM$6=$I12,"◆","")</f>
        <v/>
      </c>
      <c r="BN12" s="18">
        <f>IF(BN$6=$I12,"◆","")</f>
        <v/>
      </c>
      <c r="BO12" s="18">
        <f>IF(BO$6=$I12,"◆","")</f>
        <v/>
      </c>
      <c r="BP12" s="18">
        <f>IF(BP$6=$I12,"◆","")</f>
        <v/>
      </c>
      <c r="BQ12" s="18">
        <f>IF(BQ$6=$I12,"◆","")</f>
        <v/>
      </c>
      <c r="BR12" s="18">
        <f>IF(BR$6=$I12,"◆","")</f>
        <v/>
      </c>
      <c r="BS12" s="18">
        <f>IF(BS$6=$I12,"◆","")</f>
        <v/>
      </c>
      <c r="BT12" s="18">
        <f>IF(BT$6=$I12,"◆","")</f>
        <v/>
      </c>
    </row>
    <row r="13">
      <c r="A13" s="13" t="inlineStr">
        <is>
          <t>H06</t>
        </is>
      </c>
      <c r="B13" s="13" t="inlineStr"/>
      <c r="C13" s="14" t="inlineStr">
        <is>
          <t>Prototipo técnico 3D validado</t>
        </is>
      </c>
      <c r="D13" s="13" t="inlineStr">
        <is>
          <t>Hito</t>
        </is>
      </c>
      <c r="E13" s="15" t="inlineStr">
        <is>
          <t>Emmanuel Ospina</t>
        </is>
      </c>
      <c r="F13" s="15" t="inlineStr"/>
      <c r="G13" s="13" t="n">
        <v>0</v>
      </c>
      <c r="H13" s="13">
        <f>IF(D13="Hito",0,J13-I13+1)</f>
        <v/>
      </c>
      <c r="I13" s="16" t="n">
        <v>46316</v>
      </c>
      <c r="J13" s="16" t="n">
        <v>46316</v>
      </c>
      <c r="K13" s="14" t="inlineStr">
        <is>
          <t>3501</t>
        </is>
      </c>
      <c r="L13" s="13" t="inlineStr"/>
      <c r="M13" s="13" t="inlineStr">
        <is>
          <t>Opcional</t>
        </is>
      </c>
      <c r="N13" s="17" t="n">
        <v>0</v>
      </c>
      <c r="O13" s="18">
        <f>IF(O$6=$I13,"◆","")</f>
        <v/>
      </c>
      <c r="P13" s="18">
        <f>IF(P$6=$I13,"◆","")</f>
        <v/>
      </c>
      <c r="Q13" s="18">
        <f>IF(Q$6=$I13,"◆","")</f>
        <v/>
      </c>
      <c r="R13" s="18">
        <f>IF(R$6=$I13,"◆","")</f>
        <v/>
      </c>
      <c r="S13" s="18">
        <f>IF(S$6=$I13,"◆","")</f>
        <v/>
      </c>
      <c r="T13" s="18">
        <f>IF(T$6=$I13,"◆","")</f>
        <v/>
      </c>
      <c r="U13" s="18">
        <f>IF(U$6=$I13,"◆","")</f>
        <v/>
      </c>
      <c r="V13" s="18">
        <f>IF(V$6=$I13,"◆","")</f>
        <v/>
      </c>
      <c r="W13" s="18">
        <f>IF(W$6=$I13,"◆","")</f>
        <v/>
      </c>
      <c r="X13" s="18">
        <f>IF(X$6=$I13,"◆","")</f>
        <v/>
      </c>
      <c r="Y13" s="18">
        <f>IF(Y$6=$I13,"◆","")</f>
        <v/>
      </c>
      <c r="Z13" s="18">
        <f>IF(Z$6=$I13,"◆","")</f>
        <v/>
      </c>
      <c r="AA13" s="18">
        <f>IF(AA$6=$I13,"◆","")</f>
        <v/>
      </c>
      <c r="AB13" s="18">
        <f>IF(AB$6=$I13,"◆","")</f>
        <v/>
      </c>
      <c r="AC13" s="18">
        <f>IF(AC$6=$I13,"◆","")</f>
        <v/>
      </c>
      <c r="AD13" s="18">
        <f>IF(AD$6=$I13,"◆","")</f>
        <v/>
      </c>
      <c r="AE13" s="18">
        <f>IF(AE$6=$I13,"◆","")</f>
        <v/>
      </c>
      <c r="AF13" s="18">
        <f>IF(AF$6=$I13,"◆","")</f>
        <v/>
      </c>
      <c r="AG13" s="18">
        <f>IF(AG$6=$I13,"◆","")</f>
        <v/>
      </c>
      <c r="AH13" s="18">
        <f>IF(AH$6=$I13,"◆","")</f>
        <v/>
      </c>
      <c r="AI13" s="18">
        <f>IF(AI$6=$I13,"◆","")</f>
        <v/>
      </c>
      <c r="AJ13" s="18">
        <f>IF(AJ$6=$I13,"◆","")</f>
        <v/>
      </c>
      <c r="AK13" s="18">
        <f>IF(AK$6=$I13,"◆","")</f>
        <v/>
      </c>
      <c r="AL13" s="18">
        <f>IF(AL$6=$I13,"◆","")</f>
        <v/>
      </c>
      <c r="AM13" s="18">
        <f>IF(AM$6=$I13,"◆","")</f>
        <v/>
      </c>
      <c r="AN13" s="18">
        <f>IF(AN$6=$I13,"◆","")</f>
        <v/>
      </c>
      <c r="AO13" s="18">
        <f>IF(AO$6=$I13,"◆","")</f>
        <v/>
      </c>
      <c r="AP13" s="18">
        <f>IF(AP$6=$I13,"◆","")</f>
        <v/>
      </c>
      <c r="AQ13" s="18">
        <f>IF(AQ$6=$I13,"◆","")</f>
        <v/>
      </c>
      <c r="AR13" s="18">
        <f>IF(AR$6=$I13,"◆","")</f>
        <v/>
      </c>
      <c r="AS13" s="18">
        <f>IF(AS$6=$I13,"◆","")</f>
        <v/>
      </c>
      <c r="AT13" s="18">
        <f>IF(AT$6=$I13,"◆","")</f>
        <v/>
      </c>
      <c r="AU13" s="18">
        <f>IF(AU$6=$I13,"◆","")</f>
        <v/>
      </c>
      <c r="AV13" s="18">
        <f>IF(AV$6=$I13,"◆","")</f>
        <v/>
      </c>
      <c r="AW13" s="18">
        <f>IF(AW$6=$I13,"◆","")</f>
        <v/>
      </c>
      <c r="AX13" s="18">
        <f>IF(AX$6=$I13,"◆","")</f>
        <v/>
      </c>
      <c r="AY13" s="18">
        <f>IF(AY$6=$I13,"◆","")</f>
        <v/>
      </c>
      <c r="AZ13" s="18">
        <f>IF(AZ$6=$I13,"◆","")</f>
        <v/>
      </c>
      <c r="BA13" s="18">
        <f>IF(BA$6=$I13,"◆","")</f>
        <v/>
      </c>
      <c r="BB13" s="18">
        <f>IF(BB$6=$I13,"◆","")</f>
        <v/>
      </c>
      <c r="BC13" s="18">
        <f>IF(BC$6=$I13,"◆","")</f>
        <v/>
      </c>
      <c r="BD13" s="18">
        <f>IF(BD$6=$I13,"◆","")</f>
        <v/>
      </c>
      <c r="BE13" s="18">
        <f>IF(BE$6=$I13,"◆","")</f>
        <v/>
      </c>
      <c r="BF13" s="18">
        <f>IF(BF$6=$I13,"◆","")</f>
        <v/>
      </c>
      <c r="BG13" s="18">
        <f>IF(BG$6=$I13,"◆","")</f>
        <v/>
      </c>
      <c r="BH13" s="18">
        <f>IF(BH$6=$I13,"◆","")</f>
        <v/>
      </c>
      <c r="BI13" s="18">
        <f>IF(BI$6=$I13,"◆","")</f>
        <v/>
      </c>
      <c r="BJ13" s="18">
        <f>IF(BJ$6=$I13,"◆","")</f>
        <v/>
      </c>
      <c r="BK13" s="18">
        <f>IF(BK$6=$I13,"◆","")</f>
        <v/>
      </c>
      <c r="BL13" s="18">
        <f>IF(BL$6=$I13,"◆","")</f>
        <v/>
      </c>
      <c r="BM13" s="18">
        <f>IF(BM$6=$I13,"◆","")</f>
        <v/>
      </c>
      <c r="BN13" s="18">
        <f>IF(BN$6=$I13,"◆","")</f>
        <v/>
      </c>
      <c r="BO13" s="18">
        <f>IF(BO$6=$I13,"◆","")</f>
        <v/>
      </c>
      <c r="BP13" s="18">
        <f>IF(BP$6=$I13,"◆","")</f>
        <v/>
      </c>
      <c r="BQ13" s="18">
        <f>IF(BQ$6=$I13,"◆","")</f>
        <v/>
      </c>
      <c r="BR13" s="18">
        <f>IF(BR$6=$I13,"◆","")</f>
        <v/>
      </c>
      <c r="BS13" s="18">
        <f>IF(BS$6=$I13,"◆","")</f>
        <v/>
      </c>
      <c r="BT13" s="18">
        <f>IF(BT$6=$I13,"◆","")</f>
        <v/>
      </c>
    </row>
    <row r="14">
      <c r="A14" s="13" t="inlineStr">
        <is>
          <t>H07</t>
        </is>
      </c>
      <c r="B14" s="13" t="inlineStr"/>
      <c r="C14" s="14" t="inlineStr">
        <is>
          <t>Diseño del software completo</t>
        </is>
      </c>
      <c r="D14" s="13" t="inlineStr">
        <is>
          <t>Hito</t>
        </is>
      </c>
      <c r="E14" s="15" t="inlineStr">
        <is>
          <t>Emmanuel Ospina</t>
        </is>
      </c>
      <c r="F14" s="15" t="inlineStr"/>
      <c r="G14" s="13" t="n">
        <v>0</v>
      </c>
      <c r="H14" s="13">
        <f>IF(D14="Hito",0,J14-I14+1)</f>
        <v/>
      </c>
      <c r="I14" s="16" t="n">
        <v>46316</v>
      </c>
      <c r="J14" s="16" t="n">
        <v>46316</v>
      </c>
      <c r="K14" s="14" t="inlineStr">
        <is>
          <t>3101, 3201, 3301, 3401, 3501</t>
        </is>
      </c>
      <c r="L14" s="13" t="inlineStr"/>
      <c r="M14" s="13" t="inlineStr">
        <is>
          <t>Obligatorio</t>
        </is>
      </c>
      <c r="N14" s="17" t="n">
        <v>0</v>
      </c>
      <c r="O14" s="18">
        <f>IF(O$6=$I14,"◆","")</f>
        <v/>
      </c>
      <c r="P14" s="18">
        <f>IF(P$6=$I14,"◆","")</f>
        <v/>
      </c>
      <c r="Q14" s="18">
        <f>IF(Q$6=$I14,"◆","")</f>
        <v/>
      </c>
      <c r="R14" s="18">
        <f>IF(R$6=$I14,"◆","")</f>
        <v/>
      </c>
      <c r="S14" s="18">
        <f>IF(S$6=$I14,"◆","")</f>
        <v/>
      </c>
      <c r="T14" s="18">
        <f>IF(T$6=$I14,"◆","")</f>
        <v/>
      </c>
      <c r="U14" s="18">
        <f>IF(U$6=$I14,"◆","")</f>
        <v/>
      </c>
      <c r="V14" s="18">
        <f>IF(V$6=$I14,"◆","")</f>
        <v/>
      </c>
      <c r="W14" s="18">
        <f>IF(W$6=$I14,"◆","")</f>
        <v/>
      </c>
      <c r="X14" s="18">
        <f>IF(X$6=$I14,"◆","")</f>
        <v/>
      </c>
      <c r="Y14" s="18">
        <f>IF(Y$6=$I14,"◆","")</f>
        <v/>
      </c>
      <c r="Z14" s="18">
        <f>IF(Z$6=$I14,"◆","")</f>
        <v/>
      </c>
      <c r="AA14" s="18">
        <f>IF(AA$6=$I14,"◆","")</f>
        <v/>
      </c>
      <c r="AB14" s="18">
        <f>IF(AB$6=$I14,"◆","")</f>
        <v/>
      </c>
      <c r="AC14" s="18">
        <f>IF(AC$6=$I14,"◆","")</f>
        <v/>
      </c>
      <c r="AD14" s="18">
        <f>IF(AD$6=$I14,"◆","")</f>
        <v/>
      </c>
      <c r="AE14" s="18">
        <f>IF(AE$6=$I14,"◆","")</f>
        <v/>
      </c>
      <c r="AF14" s="18">
        <f>IF(AF$6=$I14,"◆","")</f>
        <v/>
      </c>
      <c r="AG14" s="18">
        <f>IF(AG$6=$I14,"◆","")</f>
        <v/>
      </c>
      <c r="AH14" s="18">
        <f>IF(AH$6=$I14,"◆","")</f>
        <v/>
      </c>
      <c r="AI14" s="18">
        <f>IF(AI$6=$I14,"◆","")</f>
        <v/>
      </c>
      <c r="AJ14" s="18">
        <f>IF(AJ$6=$I14,"◆","")</f>
        <v/>
      </c>
      <c r="AK14" s="18">
        <f>IF(AK$6=$I14,"◆","")</f>
        <v/>
      </c>
      <c r="AL14" s="18">
        <f>IF(AL$6=$I14,"◆","")</f>
        <v/>
      </c>
      <c r="AM14" s="18">
        <f>IF(AM$6=$I14,"◆","")</f>
        <v/>
      </c>
      <c r="AN14" s="18">
        <f>IF(AN$6=$I14,"◆","")</f>
        <v/>
      </c>
      <c r="AO14" s="18">
        <f>IF(AO$6=$I14,"◆","")</f>
        <v/>
      </c>
      <c r="AP14" s="18">
        <f>IF(AP$6=$I14,"◆","")</f>
        <v/>
      </c>
      <c r="AQ14" s="18">
        <f>IF(AQ$6=$I14,"◆","")</f>
        <v/>
      </c>
      <c r="AR14" s="18">
        <f>IF(AR$6=$I14,"◆","")</f>
        <v/>
      </c>
      <c r="AS14" s="18">
        <f>IF(AS$6=$I14,"◆","")</f>
        <v/>
      </c>
      <c r="AT14" s="18">
        <f>IF(AT$6=$I14,"◆","")</f>
        <v/>
      </c>
      <c r="AU14" s="18">
        <f>IF(AU$6=$I14,"◆","")</f>
        <v/>
      </c>
      <c r="AV14" s="18">
        <f>IF(AV$6=$I14,"◆","")</f>
        <v/>
      </c>
      <c r="AW14" s="18">
        <f>IF(AW$6=$I14,"◆","")</f>
        <v/>
      </c>
      <c r="AX14" s="18">
        <f>IF(AX$6=$I14,"◆","")</f>
        <v/>
      </c>
      <c r="AY14" s="18">
        <f>IF(AY$6=$I14,"◆","")</f>
        <v/>
      </c>
      <c r="AZ14" s="18">
        <f>IF(AZ$6=$I14,"◆","")</f>
        <v/>
      </c>
      <c r="BA14" s="18">
        <f>IF(BA$6=$I14,"◆","")</f>
        <v/>
      </c>
      <c r="BB14" s="18">
        <f>IF(BB$6=$I14,"◆","")</f>
        <v/>
      </c>
      <c r="BC14" s="18">
        <f>IF(BC$6=$I14,"◆","")</f>
        <v/>
      </c>
      <c r="BD14" s="18">
        <f>IF(BD$6=$I14,"◆","")</f>
        <v/>
      </c>
      <c r="BE14" s="18">
        <f>IF(BE$6=$I14,"◆","")</f>
        <v/>
      </c>
      <c r="BF14" s="18">
        <f>IF(BF$6=$I14,"◆","")</f>
        <v/>
      </c>
      <c r="BG14" s="18">
        <f>IF(BG$6=$I14,"◆","")</f>
        <v/>
      </c>
      <c r="BH14" s="18">
        <f>IF(BH$6=$I14,"◆","")</f>
        <v/>
      </c>
      <c r="BI14" s="18">
        <f>IF(BI$6=$I14,"◆","")</f>
        <v/>
      </c>
      <c r="BJ14" s="18">
        <f>IF(BJ$6=$I14,"◆","")</f>
        <v/>
      </c>
      <c r="BK14" s="18">
        <f>IF(BK$6=$I14,"◆","")</f>
        <v/>
      </c>
      <c r="BL14" s="18">
        <f>IF(BL$6=$I14,"◆","")</f>
        <v/>
      </c>
      <c r="BM14" s="18">
        <f>IF(BM$6=$I14,"◆","")</f>
        <v/>
      </c>
      <c r="BN14" s="18">
        <f>IF(BN$6=$I14,"◆","")</f>
        <v/>
      </c>
      <c r="BO14" s="18">
        <f>IF(BO$6=$I14,"◆","")</f>
        <v/>
      </c>
      <c r="BP14" s="18">
        <f>IF(BP$6=$I14,"◆","")</f>
        <v/>
      </c>
      <c r="BQ14" s="18">
        <f>IF(BQ$6=$I14,"◆","")</f>
        <v/>
      </c>
      <c r="BR14" s="18">
        <f>IF(BR$6=$I14,"◆","")</f>
        <v/>
      </c>
      <c r="BS14" s="18">
        <f>IF(BS$6=$I14,"◆","")</f>
        <v/>
      </c>
      <c r="BT14" s="18">
        <f>IF(BT$6=$I14,"◆","")</f>
        <v/>
      </c>
    </row>
    <row r="15">
      <c r="A15" s="13" t="inlineStr">
        <is>
          <t>H08</t>
        </is>
      </c>
      <c r="B15" s="13" t="inlineStr"/>
      <c r="C15" s="14" t="inlineStr">
        <is>
          <t>Versión v0.5 aceptada (fin del ciclo TSP 1)</t>
        </is>
      </c>
      <c r="D15" s="13" t="inlineStr">
        <is>
          <t>Hito</t>
        </is>
      </c>
      <c r="E15" s="15" t="inlineStr">
        <is>
          <t>Emmanuel Ospina</t>
        </is>
      </c>
      <c r="F15" s="15" t="inlineStr"/>
      <c r="G15" s="13" t="n">
        <v>0</v>
      </c>
      <c r="H15" s="13">
        <f>IF(D15="Hito",0,J15-I15+1)</f>
        <v/>
      </c>
      <c r="I15" s="16" t="n">
        <v>46320</v>
      </c>
      <c r="J15" s="16" t="n">
        <v>46320</v>
      </c>
      <c r="K15" s="14" t="inlineStr">
        <is>
          <t>4612, 4304, 4601, 4205, 4602, 4605…</t>
        </is>
      </c>
      <c r="L15" s="13" t="inlineStr"/>
      <c r="M15" s="13" t="inlineStr">
        <is>
          <t>Obligatorio</t>
        </is>
      </c>
      <c r="N15" s="17" t="n">
        <v>0</v>
      </c>
      <c r="O15" s="18">
        <f>IF(O$6=$I15,"◆","")</f>
        <v/>
      </c>
      <c r="P15" s="18">
        <f>IF(P$6=$I15,"◆","")</f>
        <v/>
      </c>
      <c r="Q15" s="18">
        <f>IF(Q$6=$I15,"◆","")</f>
        <v/>
      </c>
      <c r="R15" s="18">
        <f>IF(R$6=$I15,"◆","")</f>
        <v/>
      </c>
      <c r="S15" s="18">
        <f>IF(S$6=$I15,"◆","")</f>
        <v/>
      </c>
      <c r="T15" s="18">
        <f>IF(T$6=$I15,"◆","")</f>
        <v/>
      </c>
      <c r="U15" s="18">
        <f>IF(U$6=$I15,"◆","")</f>
        <v/>
      </c>
      <c r="V15" s="18">
        <f>IF(V$6=$I15,"◆","")</f>
        <v/>
      </c>
      <c r="W15" s="18">
        <f>IF(W$6=$I15,"◆","")</f>
        <v/>
      </c>
      <c r="X15" s="18">
        <f>IF(X$6=$I15,"◆","")</f>
        <v/>
      </c>
      <c r="Y15" s="18">
        <f>IF(Y$6=$I15,"◆","")</f>
        <v/>
      </c>
      <c r="Z15" s="18">
        <f>IF(Z$6=$I15,"◆","")</f>
        <v/>
      </c>
      <c r="AA15" s="18">
        <f>IF(AA$6=$I15,"◆","")</f>
        <v/>
      </c>
      <c r="AB15" s="18">
        <f>IF(AB$6=$I15,"◆","")</f>
        <v/>
      </c>
      <c r="AC15" s="18">
        <f>IF(AC$6=$I15,"◆","")</f>
        <v/>
      </c>
      <c r="AD15" s="18">
        <f>IF(AD$6=$I15,"◆","")</f>
        <v/>
      </c>
      <c r="AE15" s="18">
        <f>IF(AE$6=$I15,"◆","")</f>
        <v/>
      </c>
      <c r="AF15" s="18">
        <f>IF(AF$6=$I15,"◆","")</f>
        <v/>
      </c>
      <c r="AG15" s="18">
        <f>IF(AG$6=$I15,"◆","")</f>
        <v/>
      </c>
      <c r="AH15" s="18">
        <f>IF(AH$6=$I15,"◆","")</f>
        <v/>
      </c>
      <c r="AI15" s="18">
        <f>IF(AI$6=$I15,"◆","")</f>
        <v/>
      </c>
      <c r="AJ15" s="18">
        <f>IF(AJ$6=$I15,"◆","")</f>
        <v/>
      </c>
      <c r="AK15" s="18">
        <f>IF(AK$6=$I15,"◆","")</f>
        <v/>
      </c>
      <c r="AL15" s="18">
        <f>IF(AL$6=$I15,"◆","")</f>
        <v/>
      </c>
      <c r="AM15" s="18">
        <f>IF(AM$6=$I15,"◆","")</f>
        <v/>
      </c>
      <c r="AN15" s="18">
        <f>IF(AN$6=$I15,"◆","")</f>
        <v/>
      </c>
      <c r="AO15" s="18">
        <f>IF(AO$6=$I15,"◆","")</f>
        <v/>
      </c>
      <c r="AP15" s="18">
        <f>IF(AP$6=$I15,"◆","")</f>
        <v/>
      </c>
      <c r="AQ15" s="18">
        <f>IF(AQ$6=$I15,"◆","")</f>
        <v/>
      </c>
      <c r="AR15" s="18">
        <f>IF(AR$6=$I15,"◆","")</f>
        <v/>
      </c>
      <c r="AS15" s="18">
        <f>IF(AS$6=$I15,"◆","")</f>
        <v/>
      </c>
      <c r="AT15" s="18">
        <f>IF(AT$6=$I15,"◆","")</f>
        <v/>
      </c>
      <c r="AU15" s="18">
        <f>IF(AU$6=$I15,"◆","")</f>
        <v/>
      </c>
      <c r="AV15" s="18">
        <f>IF(AV$6=$I15,"◆","")</f>
        <v/>
      </c>
      <c r="AW15" s="18">
        <f>IF(AW$6=$I15,"◆","")</f>
        <v/>
      </c>
      <c r="AX15" s="18">
        <f>IF(AX$6=$I15,"◆","")</f>
        <v/>
      </c>
      <c r="AY15" s="18">
        <f>IF(AY$6=$I15,"◆","")</f>
        <v/>
      </c>
      <c r="AZ15" s="18">
        <f>IF(AZ$6=$I15,"◆","")</f>
        <v/>
      </c>
      <c r="BA15" s="18">
        <f>IF(BA$6=$I15,"◆","")</f>
        <v/>
      </c>
      <c r="BB15" s="18">
        <f>IF(BB$6=$I15,"◆","")</f>
        <v/>
      </c>
      <c r="BC15" s="18">
        <f>IF(BC$6=$I15,"◆","")</f>
        <v/>
      </c>
      <c r="BD15" s="18">
        <f>IF(BD$6=$I15,"◆","")</f>
        <v/>
      </c>
      <c r="BE15" s="18">
        <f>IF(BE$6=$I15,"◆","")</f>
        <v/>
      </c>
      <c r="BF15" s="18">
        <f>IF(BF$6=$I15,"◆","")</f>
        <v/>
      </c>
      <c r="BG15" s="18">
        <f>IF(BG$6=$I15,"◆","")</f>
        <v/>
      </c>
      <c r="BH15" s="18">
        <f>IF(BH$6=$I15,"◆","")</f>
        <v/>
      </c>
      <c r="BI15" s="18">
        <f>IF(BI$6=$I15,"◆","")</f>
        <v/>
      </c>
      <c r="BJ15" s="18">
        <f>IF(BJ$6=$I15,"◆","")</f>
        <v/>
      </c>
      <c r="BK15" s="18">
        <f>IF(BK$6=$I15,"◆","")</f>
        <v/>
      </c>
      <c r="BL15" s="18">
        <f>IF(BL$6=$I15,"◆","")</f>
        <v/>
      </c>
      <c r="BM15" s="18">
        <f>IF(BM$6=$I15,"◆","")</f>
        <v/>
      </c>
      <c r="BN15" s="18">
        <f>IF(BN$6=$I15,"◆","")</f>
        <v/>
      </c>
      <c r="BO15" s="18">
        <f>IF(BO$6=$I15,"◆","")</f>
        <v/>
      </c>
      <c r="BP15" s="18">
        <f>IF(BP$6=$I15,"◆","")</f>
        <v/>
      </c>
      <c r="BQ15" s="18">
        <f>IF(BQ$6=$I15,"◆","")</f>
        <v/>
      </c>
      <c r="BR15" s="18">
        <f>IF(BR$6=$I15,"◆","")</f>
        <v/>
      </c>
      <c r="BS15" s="18">
        <f>IF(BS$6=$I15,"◆","")</f>
        <v/>
      </c>
      <c r="BT15" s="18">
        <f>IF(BT$6=$I15,"◆","")</f>
        <v/>
      </c>
    </row>
    <row r="16">
      <c r="A16" s="13" t="inlineStr">
        <is>
          <t>H09</t>
        </is>
      </c>
      <c r="B16" s="13" t="inlineStr"/>
      <c r="C16" s="14" t="inlineStr">
        <is>
          <t>Primer caso clínico generado por la IA de extremo a extremo</t>
        </is>
      </c>
      <c r="D16" s="13" t="inlineStr">
        <is>
          <t>Hito</t>
        </is>
      </c>
      <c r="E16" s="15" t="inlineStr">
        <is>
          <t>Emmanuel Ospina</t>
        </is>
      </c>
      <c r="F16" s="15" t="inlineStr"/>
      <c r="G16" s="13" t="n">
        <v>0</v>
      </c>
      <c r="H16" s="13">
        <f>IF(D16="Hito",0,J16-I16+1)</f>
        <v/>
      </c>
      <c r="I16" s="16" t="n">
        <v>46334</v>
      </c>
      <c r="J16" s="16" t="n">
        <v>46334</v>
      </c>
      <c r="K16" s="14" t="inlineStr">
        <is>
          <t>4208, 4104</t>
        </is>
      </c>
      <c r="L16" s="13" t="inlineStr"/>
      <c r="M16" s="13" t="inlineStr">
        <is>
          <t>Opcional</t>
        </is>
      </c>
      <c r="N16" s="17" t="n">
        <v>0</v>
      </c>
      <c r="O16" s="18">
        <f>IF(O$6=$I16,"◆","")</f>
        <v/>
      </c>
      <c r="P16" s="18">
        <f>IF(P$6=$I16,"◆","")</f>
        <v/>
      </c>
      <c r="Q16" s="18">
        <f>IF(Q$6=$I16,"◆","")</f>
        <v/>
      </c>
      <c r="R16" s="18">
        <f>IF(R$6=$I16,"◆","")</f>
        <v/>
      </c>
      <c r="S16" s="18">
        <f>IF(S$6=$I16,"◆","")</f>
        <v/>
      </c>
      <c r="T16" s="18">
        <f>IF(T$6=$I16,"◆","")</f>
        <v/>
      </c>
      <c r="U16" s="18">
        <f>IF(U$6=$I16,"◆","")</f>
        <v/>
      </c>
      <c r="V16" s="18">
        <f>IF(V$6=$I16,"◆","")</f>
        <v/>
      </c>
      <c r="W16" s="18">
        <f>IF(W$6=$I16,"◆","")</f>
        <v/>
      </c>
      <c r="X16" s="18">
        <f>IF(X$6=$I16,"◆","")</f>
        <v/>
      </c>
      <c r="Y16" s="18">
        <f>IF(Y$6=$I16,"◆","")</f>
        <v/>
      </c>
      <c r="Z16" s="18">
        <f>IF(Z$6=$I16,"◆","")</f>
        <v/>
      </c>
      <c r="AA16" s="18">
        <f>IF(AA$6=$I16,"◆","")</f>
        <v/>
      </c>
      <c r="AB16" s="18">
        <f>IF(AB$6=$I16,"◆","")</f>
        <v/>
      </c>
      <c r="AC16" s="18">
        <f>IF(AC$6=$I16,"◆","")</f>
        <v/>
      </c>
      <c r="AD16" s="18">
        <f>IF(AD$6=$I16,"◆","")</f>
        <v/>
      </c>
      <c r="AE16" s="18">
        <f>IF(AE$6=$I16,"◆","")</f>
        <v/>
      </c>
      <c r="AF16" s="18">
        <f>IF(AF$6=$I16,"◆","")</f>
        <v/>
      </c>
      <c r="AG16" s="18">
        <f>IF(AG$6=$I16,"◆","")</f>
        <v/>
      </c>
      <c r="AH16" s="18">
        <f>IF(AH$6=$I16,"◆","")</f>
        <v/>
      </c>
      <c r="AI16" s="18">
        <f>IF(AI$6=$I16,"◆","")</f>
        <v/>
      </c>
      <c r="AJ16" s="18">
        <f>IF(AJ$6=$I16,"◆","")</f>
        <v/>
      </c>
      <c r="AK16" s="18">
        <f>IF(AK$6=$I16,"◆","")</f>
        <v/>
      </c>
      <c r="AL16" s="18">
        <f>IF(AL$6=$I16,"◆","")</f>
        <v/>
      </c>
      <c r="AM16" s="18">
        <f>IF(AM$6=$I16,"◆","")</f>
        <v/>
      </c>
      <c r="AN16" s="18">
        <f>IF(AN$6=$I16,"◆","")</f>
        <v/>
      </c>
      <c r="AO16" s="18">
        <f>IF(AO$6=$I16,"◆","")</f>
        <v/>
      </c>
      <c r="AP16" s="18">
        <f>IF(AP$6=$I16,"◆","")</f>
        <v/>
      </c>
      <c r="AQ16" s="18">
        <f>IF(AQ$6=$I16,"◆","")</f>
        <v/>
      </c>
      <c r="AR16" s="18">
        <f>IF(AR$6=$I16,"◆","")</f>
        <v/>
      </c>
      <c r="AS16" s="18">
        <f>IF(AS$6=$I16,"◆","")</f>
        <v/>
      </c>
      <c r="AT16" s="18">
        <f>IF(AT$6=$I16,"◆","")</f>
        <v/>
      </c>
      <c r="AU16" s="18">
        <f>IF(AU$6=$I16,"◆","")</f>
        <v/>
      </c>
      <c r="AV16" s="18">
        <f>IF(AV$6=$I16,"◆","")</f>
        <v/>
      </c>
      <c r="AW16" s="18">
        <f>IF(AW$6=$I16,"◆","")</f>
        <v/>
      </c>
      <c r="AX16" s="18">
        <f>IF(AX$6=$I16,"◆","")</f>
        <v/>
      </c>
      <c r="AY16" s="18">
        <f>IF(AY$6=$I16,"◆","")</f>
        <v/>
      </c>
      <c r="AZ16" s="18">
        <f>IF(AZ$6=$I16,"◆","")</f>
        <v/>
      </c>
      <c r="BA16" s="18">
        <f>IF(BA$6=$I16,"◆","")</f>
        <v/>
      </c>
      <c r="BB16" s="18">
        <f>IF(BB$6=$I16,"◆","")</f>
        <v/>
      </c>
      <c r="BC16" s="18">
        <f>IF(BC$6=$I16,"◆","")</f>
        <v/>
      </c>
      <c r="BD16" s="18">
        <f>IF(BD$6=$I16,"◆","")</f>
        <v/>
      </c>
      <c r="BE16" s="18">
        <f>IF(BE$6=$I16,"◆","")</f>
        <v/>
      </c>
      <c r="BF16" s="18">
        <f>IF(BF$6=$I16,"◆","")</f>
        <v/>
      </c>
      <c r="BG16" s="18">
        <f>IF(BG$6=$I16,"◆","")</f>
        <v/>
      </c>
      <c r="BH16" s="18">
        <f>IF(BH$6=$I16,"◆","")</f>
        <v/>
      </c>
      <c r="BI16" s="18">
        <f>IF(BI$6=$I16,"◆","")</f>
        <v/>
      </c>
      <c r="BJ16" s="18">
        <f>IF(BJ$6=$I16,"◆","")</f>
        <v/>
      </c>
      <c r="BK16" s="18">
        <f>IF(BK$6=$I16,"◆","")</f>
        <v/>
      </c>
      <c r="BL16" s="18">
        <f>IF(BL$6=$I16,"◆","")</f>
        <v/>
      </c>
      <c r="BM16" s="18">
        <f>IF(BM$6=$I16,"◆","")</f>
        <v/>
      </c>
      <c r="BN16" s="18">
        <f>IF(BN$6=$I16,"◆","")</f>
        <v/>
      </c>
      <c r="BO16" s="18">
        <f>IF(BO$6=$I16,"◆","")</f>
        <v/>
      </c>
      <c r="BP16" s="18">
        <f>IF(BP$6=$I16,"◆","")</f>
        <v/>
      </c>
      <c r="BQ16" s="18">
        <f>IF(BQ$6=$I16,"◆","")</f>
        <v/>
      </c>
      <c r="BR16" s="18">
        <f>IF(BR$6=$I16,"◆","")</f>
        <v/>
      </c>
      <c r="BS16" s="18">
        <f>IF(BS$6=$I16,"◆","")</f>
        <v/>
      </c>
      <c r="BT16" s="18">
        <f>IF(BT$6=$I16,"◆","")</f>
        <v/>
      </c>
    </row>
    <row r="17">
      <c r="A17" s="13" t="inlineStr">
        <is>
          <t>H10</t>
        </is>
      </c>
      <c r="B17" s="13" t="inlineStr"/>
      <c r="C17" s="14" t="inlineStr">
        <is>
          <t>Versión v0.9 aceptada (flujo completo integrado)</t>
        </is>
      </c>
      <c r="D17" s="13" t="inlineStr">
        <is>
          <t>Hito</t>
        </is>
      </c>
      <c r="E17" s="15" t="inlineStr">
        <is>
          <t>Emmanuel Ospina</t>
        </is>
      </c>
      <c r="F17" s="15" t="inlineStr"/>
      <c r="G17" s="13" t="n">
        <v>0</v>
      </c>
      <c r="H17" s="13">
        <f>IF(D17="Hito",0,J17-I17+1)</f>
        <v/>
      </c>
      <c r="I17" s="16" t="n">
        <v>46341</v>
      </c>
      <c r="J17" s="16" t="n">
        <v>46341</v>
      </c>
      <c r="K17" s="14" t="inlineStr">
        <is>
          <t>4101, 4204, 4207, 4610, 4208, 4501…</t>
        </is>
      </c>
      <c r="L17" s="13" t="inlineStr"/>
      <c r="M17" s="13" t="inlineStr">
        <is>
          <t>Obligatorio</t>
        </is>
      </c>
      <c r="N17" s="17" t="n">
        <v>0</v>
      </c>
      <c r="O17" s="18">
        <f>IF(O$6=$I17,"◆","")</f>
        <v/>
      </c>
      <c r="P17" s="18">
        <f>IF(P$6=$I17,"◆","")</f>
        <v/>
      </c>
      <c r="Q17" s="18">
        <f>IF(Q$6=$I17,"◆","")</f>
        <v/>
      </c>
      <c r="R17" s="18">
        <f>IF(R$6=$I17,"◆","")</f>
        <v/>
      </c>
      <c r="S17" s="18">
        <f>IF(S$6=$I17,"◆","")</f>
        <v/>
      </c>
      <c r="T17" s="18">
        <f>IF(T$6=$I17,"◆","")</f>
        <v/>
      </c>
      <c r="U17" s="18">
        <f>IF(U$6=$I17,"◆","")</f>
        <v/>
      </c>
      <c r="V17" s="18">
        <f>IF(V$6=$I17,"◆","")</f>
        <v/>
      </c>
      <c r="W17" s="18">
        <f>IF(W$6=$I17,"◆","")</f>
        <v/>
      </c>
      <c r="X17" s="18">
        <f>IF(X$6=$I17,"◆","")</f>
        <v/>
      </c>
      <c r="Y17" s="18">
        <f>IF(Y$6=$I17,"◆","")</f>
        <v/>
      </c>
      <c r="Z17" s="18">
        <f>IF(Z$6=$I17,"◆","")</f>
        <v/>
      </c>
      <c r="AA17" s="18">
        <f>IF(AA$6=$I17,"◆","")</f>
        <v/>
      </c>
      <c r="AB17" s="18">
        <f>IF(AB$6=$I17,"◆","")</f>
        <v/>
      </c>
      <c r="AC17" s="18">
        <f>IF(AC$6=$I17,"◆","")</f>
        <v/>
      </c>
      <c r="AD17" s="18">
        <f>IF(AD$6=$I17,"◆","")</f>
        <v/>
      </c>
      <c r="AE17" s="18">
        <f>IF(AE$6=$I17,"◆","")</f>
        <v/>
      </c>
      <c r="AF17" s="18">
        <f>IF(AF$6=$I17,"◆","")</f>
        <v/>
      </c>
      <c r="AG17" s="18">
        <f>IF(AG$6=$I17,"◆","")</f>
        <v/>
      </c>
      <c r="AH17" s="18">
        <f>IF(AH$6=$I17,"◆","")</f>
        <v/>
      </c>
      <c r="AI17" s="18">
        <f>IF(AI$6=$I17,"◆","")</f>
        <v/>
      </c>
      <c r="AJ17" s="18">
        <f>IF(AJ$6=$I17,"◆","")</f>
        <v/>
      </c>
      <c r="AK17" s="18">
        <f>IF(AK$6=$I17,"◆","")</f>
        <v/>
      </c>
      <c r="AL17" s="18">
        <f>IF(AL$6=$I17,"◆","")</f>
        <v/>
      </c>
      <c r="AM17" s="18">
        <f>IF(AM$6=$I17,"◆","")</f>
        <v/>
      </c>
      <c r="AN17" s="18">
        <f>IF(AN$6=$I17,"◆","")</f>
        <v/>
      </c>
      <c r="AO17" s="18">
        <f>IF(AO$6=$I17,"◆","")</f>
        <v/>
      </c>
      <c r="AP17" s="18">
        <f>IF(AP$6=$I17,"◆","")</f>
        <v/>
      </c>
      <c r="AQ17" s="18">
        <f>IF(AQ$6=$I17,"◆","")</f>
        <v/>
      </c>
      <c r="AR17" s="18">
        <f>IF(AR$6=$I17,"◆","")</f>
        <v/>
      </c>
      <c r="AS17" s="18">
        <f>IF(AS$6=$I17,"◆","")</f>
        <v/>
      </c>
      <c r="AT17" s="18">
        <f>IF(AT$6=$I17,"◆","")</f>
        <v/>
      </c>
      <c r="AU17" s="18">
        <f>IF(AU$6=$I17,"◆","")</f>
        <v/>
      </c>
      <c r="AV17" s="18">
        <f>IF(AV$6=$I17,"◆","")</f>
        <v/>
      </c>
      <c r="AW17" s="18">
        <f>IF(AW$6=$I17,"◆","")</f>
        <v/>
      </c>
      <c r="AX17" s="18">
        <f>IF(AX$6=$I17,"◆","")</f>
        <v/>
      </c>
      <c r="AY17" s="18">
        <f>IF(AY$6=$I17,"◆","")</f>
        <v/>
      </c>
      <c r="AZ17" s="18">
        <f>IF(AZ$6=$I17,"◆","")</f>
        <v/>
      </c>
      <c r="BA17" s="18">
        <f>IF(BA$6=$I17,"◆","")</f>
        <v/>
      </c>
      <c r="BB17" s="18">
        <f>IF(BB$6=$I17,"◆","")</f>
        <v/>
      </c>
      <c r="BC17" s="18">
        <f>IF(BC$6=$I17,"◆","")</f>
        <v/>
      </c>
      <c r="BD17" s="18">
        <f>IF(BD$6=$I17,"◆","")</f>
        <v/>
      </c>
      <c r="BE17" s="18">
        <f>IF(BE$6=$I17,"◆","")</f>
        <v/>
      </c>
      <c r="BF17" s="18">
        <f>IF(BF$6=$I17,"◆","")</f>
        <v/>
      </c>
      <c r="BG17" s="18">
        <f>IF(BG$6=$I17,"◆","")</f>
        <v/>
      </c>
      <c r="BH17" s="18">
        <f>IF(BH$6=$I17,"◆","")</f>
        <v/>
      </c>
      <c r="BI17" s="18">
        <f>IF(BI$6=$I17,"◆","")</f>
        <v/>
      </c>
      <c r="BJ17" s="18">
        <f>IF(BJ$6=$I17,"◆","")</f>
        <v/>
      </c>
      <c r="BK17" s="18">
        <f>IF(BK$6=$I17,"◆","")</f>
        <v/>
      </c>
      <c r="BL17" s="18">
        <f>IF(BL$6=$I17,"◆","")</f>
        <v/>
      </c>
      <c r="BM17" s="18">
        <f>IF(BM$6=$I17,"◆","")</f>
        <v/>
      </c>
      <c r="BN17" s="18">
        <f>IF(BN$6=$I17,"◆","")</f>
        <v/>
      </c>
      <c r="BO17" s="18">
        <f>IF(BO$6=$I17,"◆","")</f>
        <v/>
      </c>
      <c r="BP17" s="18">
        <f>IF(BP$6=$I17,"◆","")</f>
        <v/>
      </c>
      <c r="BQ17" s="18">
        <f>IF(BQ$6=$I17,"◆","")</f>
        <v/>
      </c>
      <c r="BR17" s="18">
        <f>IF(BR$6=$I17,"◆","")</f>
        <v/>
      </c>
      <c r="BS17" s="18">
        <f>IF(BS$6=$I17,"◆","")</f>
        <v/>
      </c>
      <c r="BT17" s="18">
        <f>IF(BT$6=$I17,"◆","")</f>
        <v/>
      </c>
    </row>
    <row r="18">
      <c r="A18" s="13" t="inlineStr">
        <is>
          <t>H11</t>
        </is>
      </c>
      <c r="B18" s="13" t="inlineStr"/>
      <c r="C18" s="14" t="inlineStr">
        <is>
          <t>Pruebas del software completadas</t>
        </is>
      </c>
      <c r="D18" s="13" t="inlineStr">
        <is>
          <t>Hito</t>
        </is>
      </c>
      <c r="E18" s="15" t="inlineStr">
        <is>
          <t>Emmanuel Ospina</t>
        </is>
      </c>
      <c r="F18" s="15" t="inlineStr"/>
      <c r="G18" s="13" t="n">
        <v>0</v>
      </c>
      <c r="H18" s="13">
        <f>IF(D18="Hito",0,J18-I18+1)</f>
        <v/>
      </c>
      <c r="I18" s="16" t="n">
        <v>46348</v>
      </c>
      <c r="J18" s="16" t="n">
        <v>46348</v>
      </c>
      <c r="K18" s="14" t="inlineStr">
        <is>
          <t>5101, 5201, 5301, 5401</t>
        </is>
      </c>
      <c r="L18" s="13" t="inlineStr"/>
      <c r="M18" s="13" t="inlineStr">
        <is>
          <t>Obligatorio</t>
        </is>
      </c>
      <c r="N18" s="17" t="n">
        <v>0</v>
      </c>
      <c r="O18" s="18">
        <f>IF(O$6=$I18,"◆","")</f>
        <v/>
      </c>
      <c r="P18" s="18">
        <f>IF(P$6=$I18,"◆","")</f>
        <v/>
      </c>
      <c r="Q18" s="18">
        <f>IF(Q$6=$I18,"◆","")</f>
        <v/>
      </c>
      <c r="R18" s="18">
        <f>IF(R$6=$I18,"◆","")</f>
        <v/>
      </c>
      <c r="S18" s="18">
        <f>IF(S$6=$I18,"◆","")</f>
        <v/>
      </c>
      <c r="T18" s="18">
        <f>IF(T$6=$I18,"◆","")</f>
        <v/>
      </c>
      <c r="U18" s="18">
        <f>IF(U$6=$I18,"◆","")</f>
        <v/>
      </c>
      <c r="V18" s="18">
        <f>IF(V$6=$I18,"◆","")</f>
        <v/>
      </c>
      <c r="W18" s="18">
        <f>IF(W$6=$I18,"◆","")</f>
        <v/>
      </c>
      <c r="X18" s="18">
        <f>IF(X$6=$I18,"◆","")</f>
        <v/>
      </c>
      <c r="Y18" s="18">
        <f>IF(Y$6=$I18,"◆","")</f>
        <v/>
      </c>
      <c r="Z18" s="18">
        <f>IF(Z$6=$I18,"◆","")</f>
        <v/>
      </c>
      <c r="AA18" s="18">
        <f>IF(AA$6=$I18,"◆","")</f>
        <v/>
      </c>
      <c r="AB18" s="18">
        <f>IF(AB$6=$I18,"◆","")</f>
        <v/>
      </c>
      <c r="AC18" s="18">
        <f>IF(AC$6=$I18,"◆","")</f>
        <v/>
      </c>
      <c r="AD18" s="18">
        <f>IF(AD$6=$I18,"◆","")</f>
        <v/>
      </c>
      <c r="AE18" s="18">
        <f>IF(AE$6=$I18,"◆","")</f>
        <v/>
      </c>
      <c r="AF18" s="18">
        <f>IF(AF$6=$I18,"◆","")</f>
        <v/>
      </c>
      <c r="AG18" s="18">
        <f>IF(AG$6=$I18,"◆","")</f>
        <v/>
      </c>
      <c r="AH18" s="18">
        <f>IF(AH$6=$I18,"◆","")</f>
        <v/>
      </c>
      <c r="AI18" s="18">
        <f>IF(AI$6=$I18,"◆","")</f>
        <v/>
      </c>
      <c r="AJ18" s="18">
        <f>IF(AJ$6=$I18,"◆","")</f>
        <v/>
      </c>
      <c r="AK18" s="18">
        <f>IF(AK$6=$I18,"◆","")</f>
        <v/>
      </c>
      <c r="AL18" s="18">
        <f>IF(AL$6=$I18,"◆","")</f>
        <v/>
      </c>
      <c r="AM18" s="18">
        <f>IF(AM$6=$I18,"◆","")</f>
        <v/>
      </c>
      <c r="AN18" s="18">
        <f>IF(AN$6=$I18,"◆","")</f>
        <v/>
      </c>
      <c r="AO18" s="18">
        <f>IF(AO$6=$I18,"◆","")</f>
        <v/>
      </c>
      <c r="AP18" s="18">
        <f>IF(AP$6=$I18,"◆","")</f>
        <v/>
      </c>
      <c r="AQ18" s="18">
        <f>IF(AQ$6=$I18,"◆","")</f>
        <v/>
      </c>
      <c r="AR18" s="18">
        <f>IF(AR$6=$I18,"◆","")</f>
        <v/>
      </c>
      <c r="AS18" s="18">
        <f>IF(AS$6=$I18,"◆","")</f>
        <v/>
      </c>
      <c r="AT18" s="18">
        <f>IF(AT$6=$I18,"◆","")</f>
        <v/>
      </c>
      <c r="AU18" s="18">
        <f>IF(AU$6=$I18,"◆","")</f>
        <v/>
      </c>
      <c r="AV18" s="18">
        <f>IF(AV$6=$I18,"◆","")</f>
        <v/>
      </c>
      <c r="AW18" s="18">
        <f>IF(AW$6=$I18,"◆","")</f>
        <v/>
      </c>
      <c r="AX18" s="18">
        <f>IF(AX$6=$I18,"◆","")</f>
        <v/>
      </c>
      <c r="AY18" s="18">
        <f>IF(AY$6=$I18,"◆","")</f>
        <v/>
      </c>
      <c r="AZ18" s="18">
        <f>IF(AZ$6=$I18,"◆","")</f>
        <v/>
      </c>
      <c r="BA18" s="18">
        <f>IF(BA$6=$I18,"◆","")</f>
        <v/>
      </c>
      <c r="BB18" s="18">
        <f>IF(BB$6=$I18,"◆","")</f>
        <v/>
      </c>
      <c r="BC18" s="18">
        <f>IF(BC$6=$I18,"◆","")</f>
        <v/>
      </c>
      <c r="BD18" s="18">
        <f>IF(BD$6=$I18,"◆","")</f>
        <v/>
      </c>
      <c r="BE18" s="18">
        <f>IF(BE$6=$I18,"◆","")</f>
        <v/>
      </c>
      <c r="BF18" s="18">
        <f>IF(BF$6=$I18,"◆","")</f>
        <v/>
      </c>
      <c r="BG18" s="18">
        <f>IF(BG$6=$I18,"◆","")</f>
        <v/>
      </c>
      <c r="BH18" s="18">
        <f>IF(BH$6=$I18,"◆","")</f>
        <v/>
      </c>
      <c r="BI18" s="18">
        <f>IF(BI$6=$I18,"◆","")</f>
        <v/>
      </c>
      <c r="BJ18" s="18">
        <f>IF(BJ$6=$I18,"◆","")</f>
        <v/>
      </c>
      <c r="BK18" s="18">
        <f>IF(BK$6=$I18,"◆","")</f>
        <v/>
      </c>
      <c r="BL18" s="18">
        <f>IF(BL$6=$I18,"◆","")</f>
        <v/>
      </c>
      <c r="BM18" s="18">
        <f>IF(BM$6=$I18,"◆","")</f>
        <v/>
      </c>
      <c r="BN18" s="18">
        <f>IF(BN$6=$I18,"◆","")</f>
        <v/>
      </c>
      <c r="BO18" s="18">
        <f>IF(BO$6=$I18,"◆","")</f>
        <v/>
      </c>
      <c r="BP18" s="18">
        <f>IF(BP$6=$I18,"◆","")</f>
        <v/>
      </c>
      <c r="BQ18" s="18">
        <f>IF(BQ$6=$I18,"◆","")</f>
        <v/>
      </c>
      <c r="BR18" s="18">
        <f>IF(BR$6=$I18,"◆","")</f>
        <v/>
      </c>
      <c r="BS18" s="18">
        <f>IF(BS$6=$I18,"◆","")</f>
        <v/>
      </c>
      <c r="BT18" s="18">
        <f>IF(BT$6=$I18,"◆","")</f>
        <v/>
      </c>
    </row>
    <row r="19">
      <c r="A19" s="13" t="inlineStr">
        <is>
          <t>H12</t>
        </is>
      </c>
      <c r="B19" s="13" t="inlineStr"/>
      <c r="C19" s="14" t="inlineStr">
        <is>
          <t>Versión 1.0 aceptada y demostración realizada</t>
        </is>
      </c>
      <c r="D19" s="13" t="inlineStr">
        <is>
          <t>Hito</t>
        </is>
      </c>
      <c r="E19" s="15" t="inlineStr">
        <is>
          <t>Emmanuel Ospina</t>
        </is>
      </c>
      <c r="F19" s="15" t="inlineStr"/>
      <c r="G19" s="13" t="n">
        <v>0</v>
      </c>
      <c r="H19" s="13">
        <f>IF(D19="Hito",0,J19-I19+1)</f>
        <v/>
      </c>
      <c r="I19" s="16" t="n">
        <v>46355</v>
      </c>
      <c r="J19" s="16" t="n">
        <v>46355</v>
      </c>
      <c r="K19" s="14" t="inlineStr">
        <is>
          <t>1404, 1402</t>
        </is>
      </c>
      <c r="L19" s="13" t="inlineStr"/>
      <c r="M19" s="13" t="inlineStr">
        <is>
          <t>Obligatorio</t>
        </is>
      </c>
      <c r="N19" s="17" t="n">
        <v>0</v>
      </c>
      <c r="O19" s="18">
        <f>IF(O$6=$I19,"◆","")</f>
        <v/>
      </c>
      <c r="P19" s="18">
        <f>IF(P$6=$I19,"◆","")</f>
        <v/>
      </c>
      <c r="Q19" s="18">
        <f>IF(Q$6=$I19,"◆","")</f>
        <v/>
      </c>
      <c r="R19" s="18">
        <f>IF(R$6=$I19,"◆","")</f>
        <v/>
      </c>
      <c r="S19" s="18">
        <f>IF(S$6=$I19,"◆","")</f>
        <v/>
      </c>
      <c r="T19" s="18">
        <f>IF(T$6=$I19,"◆","")</f>
        <v/>
      </c>
      <c r="U19" s="18">
        <f>IF(U$6=$I19,"◆","")</f>
        <v/>
      </c>
      <c r="V19" s="18">
        <f>IF(V$6=$I19,"◆","")</f>
        <v/>
      </c>
      <c r="W19" s="18">
        <f>IF(W$6=$I19,"◆","")</f>
        <v/>
      </c>
      <c r="X19" s="18">
        <f>IF(X$6=$I19,"◆","")</f>
        <v/>
      </c>
      <c r="Y19" s="18">
        <f>IF(Y$6=$I19,"◆","")</f>
        <v/>
      </c>
      <c r="Z19" s="18">
        <f>IF(Z$6=$I19,"◆","")</f>
        <v/>
      </c>
      <c r="AA19" s="18">
        <f>IF(AA$6=$I19,"◆","")</f>
        <v/>
      </c>
      <c r="AB19" s="18">
        <f>IF(AB$6=$I19,"◆","")</f>
        <v/>
      </c>
      <c r="AC19" s="18">
        <f>IF(AC$6=$I19,"◆","")</f>
        <v/>
      </c>
      <c r="AD19" s="18">
        <f>IF(AD$6=$I19,"◆","")</f>
        <v/>
      </c>
      <c r="AE19" s="18">
        <f>IF(AE$6=$I19,"◆","")</f>
        <v/>
      </c>
      <c r="AF19" s="18">
        <f>IF(AF$6=$I19,"◆","")</f>
        <v/>
      </c>
      <c r="AG19" s="18">
        <f>IF(AG$6=$I19,"◆","")</f>
        <v/>
      </c>
      <c r="AH19" s="18">
        <f>IF(AH$6=$I19,"◆","")</f>
        <v/>
      </c>
      <c r="AI19" s="18">
        <f>IF(AI$6=$I19,"◆","")</f>
        <v/>
      </c>
      <c r="AJ19" s="18">
        <f>IF(AJ$6=$I19,"◆","")</f>
        <v/>
      </c>
      <c r="AK19" s="18">
        <f>IF(AK$6=$I19,"◆","")</f>
        <v/>
      </c>
      <c r="AL19" s="18">
        <f>IF(AL$6=$I19,"◆","")</f>
        <v/>
      </c>
      <c r="AM19" s="18">
        <f>IF(AM$6=$I19,"◆","")</f>
        <v/>
      </c>
      <c r="AN19" s="18">
        <f>IF(AN$6=$I19,"◆","")</f>
        <v/>
      </c>
      <c r="AO19" s="18">
        <f>IF(AO$6=$I19,"◆","")</f>
        <v/>
      </c>
      <c r="AP19" s="18">
        <f>IF(AP$6=$I19,"◆","")</f>
        <v/>
      </c>
      <c r="AQ19" s="18">
        <f>IF(AQ$6=$I19,"◆","")</f>
        <v/>
      </c>
      <c r="AR19" s="18">
        <f>IF(AR$6=$I19,"◆","")</f>
        <v/>
      </c>
      <c r="AS19" s="18">
        <f>IF(AS$6=$I19,"◆","")</f>
        <v/>
      </c>
      <c r="AT19" s="18">
        <f>IF(AT$6=$I19,"◆","")</f>
        <v/>
      </c>
      <c r="AU19" s="18">
        <f>IF(AU$6=$I19,"◆","")</f>
        <v/>
      </c>
      <c r="AV19" s="18">
        <f>IF(AV$6=$I19,"◆","")</f>
        <v/>
      </c>
      <c r="AW19" s="18">
        <f>IF(AW$6=$I19,"◆","")</f>
        <v/>
      </c>
      <c r="AX19" s="18">
        <f>IF(AX$6=$I19,"◆","")</f>
        <v/>
      </c>
      <c r="AY19" s="18">
        <f>IF(AY$6=$I19,"◆","")</f>
        <v/>
      </c>
      <c r="AZ19" s="18">
        <f>IF(AZ$6=$I19,"◆","")</f>
        <v/>
      </c>
      <c r="BA19" s="18">
        <f>IF(BA$6=$I19,"◆","")</f>
        <v/>
      </c>
      <c r="BB19" s="18">
        <f>IF(BB$6=$I19,"◆","")</f>
        <v/>
      </c>
      <c r="BC19" s="18">
        <f>IF(BC$6=$I19,"◆","")</f>
        <v/>
      </c>
      <c r="BD19" s="18">
        <f>IF(BD$6=$I19,"◆","")</f>
        <v/>
      </c>
      <c r="BE19" s="18">
        <f>IF(BE$6=$I19,"◆","")</f>
        <v/>
      </c>
      <c r="BF19" s="18">
        <f>IF(BF$6=$I19,"◆","")</f>
        <v/>
      </c>
      <c r="BG19" s="18">
        <f>IF(BG$6=$I19,"◆","")</f>
        <v/>
      </c>
      <c r="BH19" s="18">
        <f>IF(BH$6=$I19,"◆","")</f>
        <v/>
      </c>
      <c r="BI19" s="18">
        <f>IF(BI$6=$I19,"◆","")</f>
        <v/>
      </c>
      <c r="BJ19" s="18">
        <f>IF(BJ$6=$I19,"◆","")</f>
        <v/>
      </c>
      <c r="BK19" s="18">
        <f>IF(BK$6=$I19,"◆","")</f>
        <v/>
      </c>
      <c r="BL19" s="18">
        <f>IF(BL$6=$I19,"◆","")</f>
        <v/>
      </c>
      <c r="BM19" s="18">
        <f>IF(BM$6=$I19,"◆","")</f>
        <v/>
      </c>
      <c r="BN19" s="18">
        <f>IF(BN$6=$I19,"◆","")</f>
        <v/>
      </c>
      <c r="BO19" s="18">
        <f>IF(BO$6=$I19,"◆","")</f>
        <v/>
      </c>
      <c r="BP19" s="18">
        <f>IF(BP$6=$I19,"◆","")</f>
        <v/>
      </c>
      <c r="BQ19" s="18">
        <f>IF(BQ$6=$I19,"◆","")</f>
        <v/>
      </c>
      <c r="BR19" s="18">
        <f>IF(BR$6=$I19,"◆","")</f>
        <v/>
      </c>
      <c r="BS19" s="18">
        <f>IF(BS$6=$I19,"◆","")</f>
        <v/>
      </c>
      <c r="BT19" s="18">
        <f>IF(BT$6=$I19,"◆","")</f>
        <v/>
      </c>
    </row>
    <row r="20">
      <c r="A20" s="13" t="inlineStr">
        <is>
          <t>H13</t>
        </is>
      </c>
      <c r="B20" s="13" t="inlineStr"/>
      <c r="C20" s="14" t="inlineStr">
        <is>
          <t>Proyecto cerrado</t>
        </is>
      </c>
      <c r="D20" s="13" t="inlineStr">
        <is>
          <t>Hito</t>
        </is>
      </c>
      <c r="E20" s="15" t="inlineStr">
        <is>
          <t>Emmanuel Ospina</t>
        </is>
      </c>
      <c r="F20" s="15" t="inlineStr"/>
      <c r="G20" s="13" t="n">
        <v>0</v>
      </c>
      <c r="H20" s="13">
        <f>IF(D20="Hito",0,J20-I20+1)</f>
        <v/>
      </c>
      <c r="I20" s="16" t="n">
        <v>46355</v>
      </c>
      <c r="J20" s="16" t="n">
        <v>46355</v>
      </c>
      <c r="K20" s="14" t="inlineStr">
        <is>
          <t>1403, 1401</t>
        </is>
      </c>
      <c r="L20" s="13" t="inlineStr"/>
      <c r="M20" s="13" t="inlineStr">
        <is>
          <t>Obligatorio</t>
        </is>
      </c>
      <c r="N20" s="17" t="n">
        <v>0</v>
      </c>
      <c r="O20" s="18">
        <f>IF(O$6=$I20,"◆","")</f>
        <v/>
      </c>
      <c r="P20" s="18">
        <f>IF(P$6=$I20,"◆","")</f>
        <v/>
      </c>
      <c r="Q20" s="18">
        <f>IF(Q$6=$I20,"◆","")</f>
        <v/>
      </c>
      <c r="R20" s="18">
        <f>IF(R$6=$I20,"◆","")</f>
        <v/>
      </c>
      <c r="S20" s="18">
        <f>IF(S$6=$I20,"◆","")</f>
        <v/>
      </c>
      <c r="T20" s="18">
        <f>IF(T$6=$I20,"◆","")</f>
        <v/>
      </c>
      <c r="U20" s="18">
        <f>IF(U$6=$I20,"◆","")</f>
        <v/>
      </c>
      <c r="V20" s="18">
        <f>IF(V$6=$I20,"◆","")</f>
        <v/>
      </c>
      <c r="W20" s="18">
        <f>IF(W$6=$I20,"◆","")</f>
        <v/>
      </c>
      <c r="X20" s="18">
        <f>IF(X$6=$I20,"◆","")</f>
        <v/>
      </c>
      <c r="Y20" s="18">
        <f>IF(Y$6=$I20,"◆","")</f>
        <v/>
      </c>
      <c r="Z20" s="18">
        <f>IF(Z$6=$I20,"◆","")</f>
        <v/>
      </c>
      <c r="AA20" s="18">
        <f>IF(AA$6=$I20,"◆","")</f>
        <v/>
      </c>
      <c r="AB20" s="18">
        <f>IF(AB$6=$I20,"◆","")</f>
        <v/>
      </c>
      <c r="AC20" s="18">
        <f>IF(AC$6=$I20,"◆","")</f>
        <v/>
      </c>
      <c r="AD20" s="18">
        <f>IF(AD$6=$I20,"◆","")</f>
        <v/>
      </c>
      <c r="AE20" s="18">
        <f>IF(AE$6=$I20,"◆","")</f>
        <v/>
      </c>
      <c r="AF20" s="18">
        <f>IF(AF$6=$I20,"◆","")</f>
        <v/>
      </c>
      <c r="AG20" s="18">
        <f>IF(AG$6=$I20,"◆","")</f>
        <v/>
      </c>
      <c r="AH20" s="18">
        <f>IF(AH$6=$I20,"◆","")</f>
        <v/>
      </c>
      <c r="AI20" s="18">
        <f>IF(AI$6=$I20,"◆","")</f>
        <v/>
      </c>
      <c r="AJ20" s="18">
        <f>IF(AJ$6=$I20,"◆","")</f>
        <v/>
      </c>
      <c r="AK20" s="18">
        <f>IF(AK$6=$I20,"◆","")</f>
        <v/>
      </c>
      <c r="AL20" s="18">
        <f>IF(AL$6=$I20,"◆","")</f>
        <v/>
      </c>
      <c r="AM20" s="18">
        <f>IF(AM$6=$I20,"◆","")</f>
        <v/>
      </c>
      <c r="AN20" s="18">
        <f>IF(AN$6=$I20,"◆","")</f>
        <v/>
      </c>
      <c r="AO20" s="18">
        <f>IF(AO$6=$I20,"◆","")</f>
        <v/>
      </c>
      <c r="AP20" s="18">
        <f>IF(AP$6=$I20,"◆","")</f>
        <v/>
      </c>
      <c r="AQ20" s="18">
        <f>IF(AQ$6=$I20,"◆","")</f>
        <v/>
      </c>
      <c r="AR20" s="18">
        <f>IF(AR$6=$I20,"◆","")</f>
        <v/>
      </c>
      <c r="AS20" s="18">
        <f>IF(AS$6=$I20,"◆","")</f>
        <v/>
      </c>
      <c r="AT20" s="18">
        <f>IF(AT$6=$I20,"◆","")</f>
        <v/>
      </c>
      <c r="AU20" s="18">
        <f>IF(AU$6=$I20,"◆","")</f>
        <v/>
      </c>
      <c r="AV20" s="18">
        <f>IF(AV$6=$I20,"◆","")</f>
        <v/>
      </c>
      <c r="AW20" s="18">
        <f>IF(AW$6=$I20,"◆","")</f>
        <v/>
      </c>
      <c r="AX20" s="18">
        <f>IF(AX$6=$I20,"◆","")</f>
        <v/>
      </c>
      <c r="AY20" s="18">
        <f>IF(AY$6=$I20,"◆","")</f>
        <v/>
      </c>
      <c r="AZ20" s="18">
        <f>IF(AZ$6=$I20,"◆","")</f>
        <v/>
      </c>
      <c r="BA20" s="18">
        <f>IF(BA$6=$I20,"◆","")</f>
        <v/>
      </c>
      <c r="BB20" s="18">
        <f>IF(BB$6=$I20,"◆","")</f>
        <v/>
      </c>
      <c r="BC20" s="18">
        <f>IF(BC$6=$I20,"◆","")</f>
        <v/>
      </c>
      <c r="BD20" s="18">
        <f>IF(BD$6=$I20,"◆","")</f>
        <v/>
      </c>
      <c r="BE20" s="18">
        <f>IF(BE$6=$I20,"◆","")</f>
        <v/>
      </c>
      <c r="BF20" s="18">
        <f>IF(BF$6=$I20,"◆","")</f>
        <v/>
      </c>
      <c r="BG20" s="18">
        <f>IF(BG$6=$I20,"◆","")</f>
        <v/>
      </c>
      <c r="BH20" s="18">
        <f>IF(BH$6=$I20,"◆","")</f>
        <v/>
      </c>
      <c r="BI20" s="18">
        <f>IF(BI$6=$I20,"◆","")</f>
        <v/>
      </c>
      <c r="BJ20" s="18">
        <f>IF(BJ$6=$I20,"◆","")</f>
        <v/>
      </c>
      <c r="BK20" s="18">
        <f>IF(BK$6=$I20,"◆","")</f>
        <v/>
      </c>
      <c r="BL20" s="18">
        <f>IF(BL$6=$I20,"◆","")</f>
        <v/>
      </c>
      <c r="BM20" s="18">
        <f>IF(BM$6=$I20,"◆","")</f>
        <v/>
      </c>
      <c r="BN20" s="18">
        <f>IF(BN$6=$I20,"◆","")</f>
        <v/>
      </c>
      <c r="BO20" s="18">
        <f>IF(BO$6=$I20,"◆","")</f>
        <v/>
      </c>
      <c r="BP20" s="18">
        <f>IF(BP$6=$I20,"◆","")</f>
        <v/>
      </c>
      <c r="BQ20" s="18">
        <f>IF(BQ$6=$I20,"◆","")</f>
        <v/>
      </c>
      <c r="BR20" s="18">
        <f>IF(BR$6=$I20,"◆","")</f>
        <v/>
      </c>
      <c r="BS20" s="18">
        <f>IF(BS$6=$I20,"◆","")</f>
        <v/>
      </c>
      <c r="BT20" s="18">
        <f>IF(BT$6=$I20,"◆","")</f>
        <v/>
      </c>
    </row>
    <row r="21">
      <c r="A21" s="7" t="inlineStr"/>
      <c r="B21" s="7" t="inlineStr"/>
      <c r="C21" s="8" t="inlineStr">
        <is>
          <t>INICIO</t>
        </is>
      </c>
      <c r="D21" s="7" t="inlineStr">
        <is>
          <t>Fase</t>
        </is>
      </c>
      <c r="E21" s="9" t="inlineStr"/>
      <c r="F21" s="9" t="inlineStr"/>
      <c r="G21" s="7">
        <f>SUM(G22:G23)</f>
        <v/>
      </c>
      <c r="H21" s="7">
        <f>IF(D21="Hito",0,J21-I21+1)</f>
        <v/>
      </c>
      <c r="I21" s="10">
        <f>MIN(I22:I23)</f>
        <v/>
      </c>
      <c r="J21" s="10">
        <f>MAX(J22:J23)</f>
        <v/>
      </c>
      <c r="K21" s="8" t="inlineStr"/>
      <c r="L21" s="7" t="inlineStr"/>
      <c r="M21" s="7" t="inlineStr"/>
      <c r="N21" s="11">
        <f>IFERROR(SUMPRODUCT(G22:G23,N22:N23)/SUM(G22:G23),0)</f>
        <v/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12" t="n"/>
      <c r="BS21" s="12" t="n"/>
      <c r="BT21" s="12" t="n"/>
    </row>
    <row r="22">
      <c r="A22" s="13" t="inlineStr">
        <is>
          <t>1101</t>
        </is>
      </c>
      <c r="B22" s="13" t="inlineStr">
        <is>
          <t>1.1.1</t>
        </is>
      </c>
      <c r="C22" s="14" t="inlineStr">
        <is>
          <t>Elaborar el Acta de Constitución del Proyecto</t>
        </is>
      </c>
      <c r="D22" s="13" t="inlineStr">
        <is>
          <t>Actividad</t>
        </is>
      </c>
      <c r="E22" s="15" t="inlineStr">
        <is>
          <t>Emmanuel Ospina</t>
        </is>
      </c>
      <c r="F22" s="15" t="inlineStr">
        <is>
          <t>Emmanuel Ospina</t>
        </is>
      </c>
      <c r="G22" s="13" t="n">
        <v>8</v>
      </c>
      <c r="H22" s="13">
        <f>IF(D22="Hito",0,J22-I22+1)</f>
        <v/>
      </c>
      <c r="I22" s="16" t="n">
        <v>46298</v>
      </c>
      <c r="J22" s="16" t="n">
        <v>46300</v>
      </c>
      <c r="K22" s="14" t="inlineStr"/>
      <c r="L22" s="13" t="inlineStr">
        <is>
          <t>Inicio</t>
        </is>
      </c>
      <c r="M22" s="13" t="inlineStr">
        <is>
          <t>—</t>
        </is>
      </c>
      <c r="N22" s="19" t="n">
        <v>1</v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12" t="n"/>
      <c r="BS22" s="12" t="n"/>
      <c r="BT22" s="12" t="n"/>
    </row>
    <row r="23">
      <c r="A23" s="13" t="inlineStr">
        <is>
          <t>1102</t>
        </is>
      </c>
      <c r="B23" s="13" t="inlineStr">
        <is>
          <t>1.1.2</t>
        </is>
      </c>
      <c r="C23" s="14" t="inlineStr">
        <is>
          <t>Elaborar la Matriz de Partes Interesadas</t>
        </is>
      </c>
      <c r="D23" s="13" t="inlineStr">
        <is>
          <t>Actividad</t>
        </is>
      </c>
      <c r="E23" s="15" t="inlineStr">
        <is>
          <t>Emmanuel Ospina</t>
        </is>
      </c>
      <c r="F23" s="15" t="inlineStr">
        <is>
          <t>Emmanuel Ospina</t>
        </is>
      </c>
      <c r="G23" s="13" t="n">
        <v>4</v>
      </c>
      <c r="H23" s="13">
        <f>IF(D23="Hito",0,J23-I23+1)</f>
        <v/>
      </c>
      <c r="I23" s="16" t="n">
        <v>46299</v>
      </c>
      <c r="J23" s="16" t="n">
        <v>46300</v>
      </c>
      <c r="K23" s="14" t="inlineStr"/>
      <c r="L23" s="13" t="inlineStr">
        <is>
          <t>Inicio</t>
        </is>
      </c>
      <c r="M23" s="13" t="inlineStr">
        <is>
          <t>—</t>
        </is>
      </c>
      <c r="N23" s="19" t="n">
        <v>1</v>
      </c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12" t="n"/>
      <c r="BS23" s="12" t="n"/>
      <c r="BT23" s="12" t="n"/>
    </row>
    <row r="24">
      <c r="A24" s="7" t="inlineStr"/>
      <c r="B24" s="7" t="inlineStr"/>
      <c r="C24" s="8" t="inlineStr">
        <is>
          <t>ANÁLISIS</t>
        </is>
      </c>
      <c r="D24" s="7" t="inlineStr">
        <is>
          <t>Fase</t>
        </is>
      </c>
      <c r="E24" s="9" t="inlineStr"/>
      <c r="F24" s="9" t="inlineStr"/>
      <c r="G24" s="7">
        <f>SUM(G25:G27)</f>
        <v/>
      </c>
      <c r="H24" s="7">
        <f>IF(D24="Hito",0,J24-I24+1)</f>
        <v/>
      </c>
      <c r="I24" s="10">
        <f>MIN(I25:I27)</f>
        <v/>
      </c>
      <c r="J24" s="10">
        <f>MAX(J25:J27)</f>
        <v/>
      </c>
      <c r="K24" s="8" t="inlineStr"/>
      <c r="L24" s="7" t="inlineStr"/>
      <c r="M24" s="7" t="inlineStr"/>
      <c r="N24" s="11">
        <f>IFERROR(SUMPRODUCT(G25:G27,N25:N27)/SUM(G25:G27),0)</f>
        <v/>
      </c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12" t="n"/>
      <c r="BS24" s="12" t="n"/>
      <c r="BT24" s="12" t="n"/>
    </row>
    <row r="25">
      <c r="A25" s="13" t="inlineStr">
        <is>
          <t>2101</t>
        </is>
      </c>
      <c r="B25" s="13" t="inlineStr">
        <is>
          <t>2.1</t>
        </is>
      </c>
      <c r="C25" s="14" t="inlineStr">
        <is>
          <t>Especificar los requisitos y su trazabilidad</t>
        </is>
      </c>
      <c r="D25" s="13" t="inlineStr">
        <is>
          <t>Actividad</t>
        </is>
      </c>
      <c r="E25" s="15" t="inlineStr">
        <is>
          <t>Jahan Chará</t>
        </is>
      </c>
      <c r="F25" s="15" t="inlineStr">
        <is>
          <t>Jahan Chará</t>
        </is>
      </c>
      <c r="G25" s="13" t="n">
        <v>14</v>
      </c>
      <c r="H25" s="13">
        <f>IF(D25="Hito",0,J25-I25+1)</f>
        <v/>
      </c>
      <c r="I25" s="16" t="n">
        <v>46300</v>
      </c>
      <c r="J25" s="16" t="n">
        <v>46306</v>
      </c>
      <c r="K25" s="14" t="inlineStr"/>
      <c r="L25" s="13" t="inlineStr">
        <is>
          <t>Análisis</t>
        </is>
      </c>
      <c r="M25" s="13" t="inlineStr">
        <is>
          <t>—</t>
        </is>
      </c>
      <c r="N25" s="19" t="n">
        <v>1</v>
      </c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</row>
    <row r="26">
      <c r="A26" s="13" t="inlineStr">
        <is>
          <t>2201</t>
        </is>
      </c>
      <c r="B26" s="13" t="inlineStr">
        <is>
          <t>2.2</t>
        </is>
      </c>
      <c r="C26" s="14" t="inlineStr">
        <is>
          <t>Modelar el diagrama de casos de uso</t>
        </is>
      </c>
      <c r="D26" s="13" t="inlineStr">
        <is>
          <t>Actividad</t>
        </is>
      </c>
      <c r="E26" s="15" t="inlineStr">
        <is>
          <t>Jahan Chará</t>
        </is>
      </c>
      <c r="F26" s="15" t="inlineStr">
        <is>
          <t>Jahan Chará</t>
        </is>
      </c>
      <c r="G26" s="13" t="n">
        <v>6</v>
      </c>
      <c r="H26" s="13">
        <f>IF(D26="Hito",0,J26-I26+1)</f>
        <v/>
      </c>
      <c r="I26" s="16" t="n">
        <v>46300</v>
      </c>
      <c r="J26" s="16" t="n">
        <v>46306</v>
      </c>
      <c r="K26" s="14" t="inlineStr"/>
      <c r="L26" s="13" t="inlineStr">
        <is>
          <t>Análisis</t>
        </is>
      </c>
      <c r="M26" s="13" t="inlineStr">
        <is>
          <t>—</t>
        </is>
      </c>
      <c r="N26" s="19" t="n">
        <v>1</v>
      </c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  <c r="AX26" s="12" t="n"/>
      <c r="AY26" s="12" t="n"/>
      <c r="AZ26" s="12" t="n"/>
      <c r="BA26" s="12" t="n"/>
      <c r="BB26" s="12" t="n"/>
      <c r="BC26" s="12" t="n"/>
      <c r="BD26" s="12" t="n"/>
      <c r="BE26" s="12" t="n"/>
      <c r="BF26" s="12" t="n"/>
      <c r="BG26" s="12" t="n"/>
      <c r="BH26" s="12" t="n"/>
      <c r="BI26" s="12" t="n"/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12" t="n"/>
      <c r="BS26" s="12" t="n"/>
      <c r="BT26" s="12" t="n"/>
    </row>
    <row r="27">
      <c r="A27" s="13" t="inlineStr">
        <is>
          <t>2301</t>
        </is>
      </c>
      <c r="B27" s="13" t="inlineStr">
        <is>
          <t>2.3</t>
        </is>
      </c>
      <c r="C27" s="14" t="inlineStr">
        <is>
          <t>Priorizar los requisitos con MoSCoW</t>
        </is>
      </c>
      <c r="D27" s="13" t="inlineStr">
        <is>
          <t>Actividad</t>
        </is>
      </c>
      <c r="E27" s="15" t="inlineStr">
        <is>
          <t>Emmanuel Ospina</t>
        </is>
      </c>
      <c r="F27" s="15" t="inlineStr">
        <is>
          <t>Emmanuel Ospina</t>
        </is>
      </c>
      <c r="G27" s="13" t="n">
        <v>4</v>
      </c>
      <c r="H27" s="13">
        <f>IF(D27="Hito",0,J27-I27+1)</f>
        <v/>
      </c>
      <c r="I27" s="16" t="n">
        <v>46300</v>
      </c>
      <c r="J27" s="16" t="n">
        <v>46306</v>
      </c>
      <c r="K27" s="14" t="inlineStr"/>
      <c r="L27" s="13" t="inlineStr">
        <is>
          <t>Análisis</t>
        </is>
      </c>
      <c r="M27" s="13" t="inlineStr">
        <is>
          <t>—</t>
        </is>
      </c>
      <c r="N27" s="19" t="n">
        <v>1</v>
      </c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  <c r="AX27" s="12" t="n"/>
      <c r="AY27" s="12" t="n"/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  <c r="BL27" s="12" t="n"/>
      <c r="BM27" s="12" t="n"/>
      <c r="BN27" s="12" t="n"/>
      <c r="BO27" s="12" t="n"/>
      <c r="BP27" s="12" t="n"/>
      <c r="BQ27" s="12" t="n"/>
      <c r="BR27" s="12" t="n"/>
      <c r="BS27" s="12" t="n"/>
      <c r="BT27" s="12" t="n"/>
    </row>
    <row r="28">
      <c r="A28" s="7" t="inlineStr"/>
      <c r="B28" s="7" t="inlineStr"/>
      <c r="C28" s="8" t="inlineStr">
        <is>
          <t>PLANEACIÓN</t>
        </is>
      </c>
      <c r="D28" s="7" t="inlineStr">
        <is>
          <t>Fase</t>
        </is>
      </c>
      <c r="E28" s="9" t="inlineStr"/>
      <c r="F28" s="9" t="inlineStr"/>
      <c r="G28" s="7">
        <f>SUM(G29:G34)</f>
        <v/>
      </c>
      <c r="H28" s="7">
        <f>IF(D28="Hito",0,J28-I28+1)</f>
        <v/>
      </c>
      <c r="I28" s="10">
        <f>MIN(I29:I34)</f>
        <v/>
      </c>
      <c r="J28" s="10">
        <f>MAX(J29:J34)</f>
        <v/>
      </c>
      <c r="K28" s="8" t="inlineStr"/>
      <c r="L28" s="7" t="inlineStr"/>
      <c r="M28" s="7" t="inlineStr"/>
      <c r="N28" s="11">
        <f>IFERROR(SUMPRODUCT(G29:G34,N29:N34)/SUM(G29:G34),0)</f>
        <v/>
      </c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  <c r="AX28" s="12" t="n"/>
      <c r="AY28" s="12" t="n"/>
      <c r="AZ28" s="12" t="n"/>
      <c r="BA28" s="12" t="n"/>
      <c r="BB28" s="12" t="n"/>
      <c r="BC28" s="12" t="n"/>
      <c r="BD28" s="12" t="n"/>
      <c r="BE28" s="12" t="n"/>
      <c r="BF28" s="12" t="n"/>
      <c r="BG28" s="12" t="n"/>
      <c r="BH28" s="12" t="n"/>
      <c r="BI28" s="12" t="n"/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12" t="n"/>
      <c r="BS28" s="12" t="n"/>
      <c r="BT28" s="12" t="n"/>
    </row>
    <row r="29">
      <c r="A29" s="13" t="inlineStr">
        <is>
          <t>1201</t>
        </is>
      </c>
      <c r="B29" s="13" t="inlineStr">
        <is>
          <t>1.2.1</t>
        </is>
      </c>
      <c r="C29" s="14" t="inlineStr">
        <is>
          <t>Elaborar el Plan de Gestión del Alcance</t>
        </is>
      </c>
      <c r="D29" s="13" t="inlineStr">
        <is>
          <t>Actividad</t>
        </is>
      </c>
      <c r="E29" s="15" t="inlineStr">
        <is>
          <t>Emmanuel Ospina</t>
        </is>
      </c>
      <c r="F29" s="15" t="inlineStr">
        <is>
          <t>Emmanuel Ospina</t>
        </is>
      </c>
      <c r="G29" s="13" t="n">
        <v>6</v>
      </c>
      <c r="H29" s="13">
        <f>IF(D29="Hito",0,J29-I29+1)</f>
        <v/>
      </c>
      <c r="I29" s="16" t="n">
        <v>46306</v>
      </c>
      <c r="J29" s="16" t="n">
        <v>46306</v>
      </c>
      <c r="K29" s="14" t="inlineStr">
        <is>
          <t>H03</t>
        </is>
      </c>
      <c r="L29" s="13" t="inlineStr">
        <is>
          <t>Planeación</t>
        </is>
      </c>
      <c r="M29" s="13" t="inlineStr">
        <is>
          <t>—</t>
        </is>
      </c>
      <c r="N29" s="19" t="n">
        <v>1</v>
      </c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2" t="n"/>
      <c r="BQ29" s="12" t="n"/>
      <c r="BR29" s="12" t="n"/>
      <c r="BS29" s="12" t="n"/>
      <c r="BT29" s="12" t="n"/>
    </row>
    <row r="30">
      <c r="A30" s="13" t="inlineStr">
        <is>
          <t>1202</t>
        </is>
      </c>
      <c r="B30" s="13" t="inlineStr">
        <is>
          <t>1.2.2</t>
        </is>
      </c>
      <c r="C30" s="14" t="inlineStr">
        <is>
          <t>Crear la EDT y su diccionario</t>
        </is>
      </c>
      <c r="D30" s="13" t="inlineStr">
        <is>
          <t>Actividad</t>
        </is>
      </c>
      <c r="E30" s="15" t="inlineStr">
        <is>
          <t>Jahan Chará</t>
        </is>
      </c>
      <c r="F30" s="15" t="inlineStr">
        <is>
          <t>Jahan Chará</t>
        </is>
      </c>
      <c r="G30" s="13" t="n">
        <v>6</v>
      </c>
      <c r="H30" s="13">
        <f>IF(D30="Hito",0,J30-I30+1)</f>
        <v/>
      </c>
      <c r="I30" s="16" t="n">
        <v>46306</v>
      </c>
      <c r="J30" s="16" t="n">
        <v>46306</v>
      </c>
      <c r="K30" s="14" t="inlineStr">
        <is>
          <t>H03</t>
        </is>
      </c>
      <c r="L30" s="13" t="inlineStr">
        <is>
          <t>Planeación</t>
        </is>
      </c>
      <c r="M30" s="13" t="inlineStr">
        <is>
          <t>—</t>
        </is>
      </c>
      <c r="N30" s="19" t="n">
        <v>1</v>
      </c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12" t="n"/>
      <c r="BS30" s="12" t="n"/>
      <c r="BT30" s="12" t="n"/>
    </row>
    <row r="31">
      <c r="A31" s="13" t="inlineStr">
        <is>
          <t>1203</t>
        </is>
      </c>
      <c r="B31" s="13" t="inlineStr">
        <is>
          <t>1.2.3</t>
        </is>
      </c>
      <c r="C31" s="14" t="inlineStr">
        <is>
          <t>Elaborar el plan de cronograma, la lista de actividades y la lista de hitos</t>
        </is>
      </c>
      <c r="D31" s="13" t="inlineStr">
        <is>
          <t>Actividad</t>
        </is>
      </c>
      <c r="E31" s="15" t="inlineStr">
        <is>
          <t>Jahan Chará</t>
        </is>
      </c>
      <c r="F31" s="15" t="inlineStr">
        <is>
          <t>Jahan Chará</t>
        </is>
      </c>
      <c r="G31" s="13" t="n">
        <v>8</v>
      </c>
      <c r="H31" s="13">
        <f>IF(D31="Hito",0,J31-I31+1)</f>
        <v/>
      </c>
      <c r="I31" s="16" t="n">
        <v>46306</v>
      </c>
      <c r="J31" s="16" t="n">
        <v>46306</v>
      </c>
      <c r="K31" s="14" t="inlineStr">
        <is>
          <t>1202</t>
        </is>
      </c>
      <c r="L31" s="13" t="inlineStr">
        <is>
          <t>Planeación</t>
        </is>
      </c>
      <c r="M31" s="13" t="inlineStr">
        <is>
          <t>—</t>
        </is>
      </c>
      <c r="N31" s="19" t="n">
        <v>1</v>
      </c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12" t="n"/>
      <c r="BS31" s="12" t="n"/>
      <c r="BT31" s="12" t="n"/>
    </row>
    <row r="32">
      <c r="A32" s="13" t="inlineStr">
        <is>
          <t>1303</t>
        </is>
      </c>
      <c r="B32" s="13" t="inlineStr">
        <is>
          <t>1.3.2</t>
        </is>
      </c>
      <c r="C32" s="14" t="inlineStr">
        <is>
          <t>Configurar el repositorio y el tablero del proyecto</t>
        </is>
      </c>
      <c r="D32" s="13" t="inlineStr">
        <is>
          <t>Actividad</t>
        </is>
      </c>
      <c r="E32" s="15" t="inlineStr">
        <is>
          <t>Cristian Cruz</t>
        </is>
      </c>
      <c r="F32" s="15" t="inlineStr">
        <is>
          <t>Cristian Cruz</t>
        </is>
      </c>
      <c r="G32" s="13" t="n">
        <v>4</v>
      </c>
      <c r="H32" s="13">
        <f>IF(D32="Hito",0,J32-I32+1)</f>
        <v/>
      </c>
      <c r="I32" s="16" t="n">
        <v>46306</v>
      </c>
      <c r="J32" s="16" t="n">
        <v>46306</v>
      </c>
      <c r="K32" s="14" t="inlineStr">
        <is>
          <t>1202</t>
        </is>
      </c>
      <c r="L32" s="13" t="inlineStr">
        <is>
          <t>Planeación</t>
        </is>
      </c>
      <c r="M32" s="13" t="inlineStr">
        <is>
          <t>—</t>
        </is>
      </c>
      <c r="N32" s="19" t="n">
        <v>1</v>
      </c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12" t="n"/>
      <c r="BS32" s="12" t="n"/>
      <c r="BT32" s="12" t="n"/>
    </row>
    <row r="33">
      <c r="A33" s="13" t="inlineStr">
        <is>
          <t>1204</t>
        </is>
      </c>
      <c r="B33" s="13" t="inlineStr">
        <is>
          <t>1.2.4</t>
        </is>
      </c>
      <c r="C33" s="14" t="inlineStr">
        <is>
          <t>Elaborar el Plan de Gestión de la Calidad</t>
        </is>
      </c>
      <c r="D33" s="13" t="inlineStr">
        <is>
          <t>Actividad</t>
        </is>
      </c>
      <c r="E33" s="15" t="inlineStr">
        <is>
          <t>Nestor Velasco</t>
        </is>
      </c>
      <c r="F33" s="15" t="inlineStr">
        <is>
          <t>Nestor Velasco</t>
        </is>
      </c>
      <c r="G33" s="13" t="n">
        <v>6</v>
      </c>
      <c r="H33" s="13">
        <f>IF(D33="Hito",0,J33-I33+1)</f>
        <v/>
      </c>
      <c r="I33" s="16" t="n">
        <v>46307</v>
      </c>
      <c r="J33" s="16" t="n">
        <v>46308</v>
      </c>
      <c r="K33" s="14" t="inlineStr">
        <is>
          <t>H04</t>
        </is>
      </c>
      <c r="L33" s="13" t="inlineStr">
        <is>
          <t>Planeación</t>
        </is>
      </c>
      <c r="M33" s="13" t="inlineStr">
        <is>
          <t>—</t>
        </is>
      </c>
      <c r="N33" s="19" t="n">
        <v>0</v>
      </c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12" t="n"/>
      <c r="BS33" s="12" t="n"/>
      <c r="BT33" s="12" t="n"/>
    </row>
    <row r="34">
      <c r="A34" s="13" t="inlineStr">
        <is>
          <t>1304</t>
        </is>
      </c>
      <c r="B34" s="13" t="inlineStr">
        <is>
          <t>1.3.3</t>
        </is>
      </c>
      <c r="C34" s="14" t="inlineStr">
        <is>
          <t>Elaborar el plan de pruebas y calidad del software</t>
        </is>
      </c>
      <c r="D34" s="13" t="inlineStr">
        <is>
          <t>Actividad</t>
        </is>
      </c>
      <c r="E34" s="15" t="inlineStr">
        <is>
          <t>Nestor Velasco</t>
        </is>
      </c>
      <c r="F34" s="15" t="inlineStr">
        <is>
          <t>Nestor Velasco</t>
        </is>
      </c>
      <c r="G34" s="13" t="n">
        <v>3</v>
      </c>
      <c r="H34" s="13">
        <f>IF(D34="Hito",0,J34-I34+1)</f>
        <v/>
      </c>
      <c r="I34" s="16" t="n">
        <v>46309</v>
      </c>
      <c r="J34" s="16" t="n">
        <v>46309</v>
      </c>
      <c r="K34" s="14" t="inlineStr">
        <is>
          <t>1204</t>
        </is>
      </c>
      <c r="L34" s="13" t="inlineStr">
        <is>
          <t>Planeación</t>
        </is>
      </c>
      <c r="M34" s="13" t="inlineStr">
        <is>
          <t>—</t>
        </is>
      </c>
      <c r="N34" s="19" t="n">
        <v>0</v>
      </c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12" t="n"/>
      <c r="BS34" s="12" t="n"/>
      <c r="BT34" s="12" t="n"/>
    </row>
    <row r="35">
      <c r="A35" s="7" t="inlineStr"/>
      <c r="B35" s="7" t="inlineStr"/>
      <c r="C35" s="8" t="inlineStr">
        <is>
          <t>MONITOREO Y CONTROL</t>
        </is>
      </c>
      <c r="D35" s="7" t="inlineStr">
        <is>
          <t>Fase</t>
        </is>
      </c>
      <c r="E35" s="9" t="inlineStr"/>
      <c r="F35" s="9" t="inlineStr"/>
      <c r="G35" s="7">
        <f>SUM(G36:G37)</f>
        <v/>
      </c>
      <c r="H35" s="7">
        <f>IF(D35="Hito",0,J35-I35+1)</f>
        <v/>
      </c>
      <c r="I35" s="10">
        <f>MIN(I36:I37)</f>
        <v/>
      </c>
      <c r="J35" s="10">
        <f>MAX(J36:J37)</f>
        <v/>
      </c>
      <c r="K35" s="8" t="inlineStr"/>
      <c r="L35" s="7" t="inlineStr"/>
      <c r="M35" s="7" t="inlineStr"/>
      <c r="N35" s="11">
        <f>IFERROR(SUMPRODUCT(G36:G37,N36:N37)/SUM(G36:G37),0)</f>
        <v/>
      </c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12" t="n"/>
      <c r="BS35" s="12" t="n"/>
      <c r="BT35" s="12" t="n"/>
    </row>
    <row r="36">
      <c r="A36" s="13" t="inlineStr">
        <is>
          <t>1301</t>
        </is>
      </c>
      <c r="B36" s="13" t="inlineStr">
        <is>
          <t>1.3.1</t>
        </is>
      </c>
      <c r="C36" s="14" t="inlineStr">
        <is>
          <t>Realizar el seguimiento semanal TSP</t>
        </is>
      </c>
      <c r="D36" s="13" t="inlineStr">
        <is>
          <t>Actividad</t>
        </is>
      </c>
      <c r="E36" s="15" t="inlineStr">
        <is>
          <t>Emmanuel Ospina</t>
        </is>
      </c>
      <c r="F36" s="15" t="inlineStr">
        <is>
          <t>Emmanuel Ospina</t>
        </is>
      </c>
      <c r="G36" s="13" t="n">
        <v>14</v>
      </c>
      <c r="H36" s="13">
        <f>IF(D36="Hito",0,J36-I36+1)</f>
        <v/>
      </c>
      <c r="I36" s="16" t="n">
        <v>46307</v>
      </c>
      <c r="J36" s="16" t="n">
        <v>46355</v>
      </c>
      <c r="K36" s="14" t="inlineStr">
        <is>
          <t>H04</t>
        </is>
      </c>
      <c r="L36" s="13" t="inlineStr">
        <is>
          <t>Continuo</t>
        </is>
      </c>
      <c r="M36" s="13" t="inlineStr">
        <is>
          <t>—</t>
        </is>
      </c>
      <c r="N36" s="19" t="n">
        <v>0</v>
      </c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12" t="n"/>
      <c r="BS36" s="12" t="n"/>
      <c r="BT36" s="12" t="n"/>
    </row>
    <row r="37">
      <c r="A37" s="13" t="inlineStr">
        <is>
          <t>1302</t>
        </is>
      </c>
      <c r="B37" s="13" t="inlineStr">
        <is>
          <t>1.3.2</t>
        </is>
      </c>
      <c r="C37" s="14" t="inlineStr">
        <is>
          <t>Controlar los cambios del alcance y del cronograma</t>
        </is>
      </c>
      <c r="D37" s="13" t="inlineStr">
        <is>
          <t>Actividad</t>
        </is>
      </c>
      <c r="E37" s="15" t="inlineStr">
        <is>
          <t>Emmanuel Ospina</t>
        </is>
      </c>
      <c r="F37" s="15" t="inlineStr">
        <is>
          <t>Emmanuel Ospina</t>
        </is>
      </c>
      <c r="G37" s="13" t="n">
        <v>3</v>
      </c>
      <c r="H37" s="13">
        <f>IF(D37="Hito",0,J37-I37+1)</f>
        <v/>
      </c>
      <c r="I37" s="16" t="n">
        <v>46307</v>
      </c>
      <c r="J37" s="16" t="n">
        <v>46355</v>
      </c>
      <c r="K37" s="14" t="inlineStr">
        <is>
          <t>H04</t>
        </is>
      </c>
      <c r="L37" s="13" t="inlineStr">
        <is>
          <t>Continuo</t>
        </is>
      </c>
      <c r="M37" s="13" t="inlineStr">
        <is>
          <t>—</t>
        </is>
      </c>
      <c r="N37" s="19" t="n">
        <v>0</v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12" t="n"/>
      <c r="BS37" s="12" t="n"/>
      <c r="BT37" s="12" t="n"/>
    </row>
    <row r="38">
      <c r="A38" s="7" t="inlineStr"/>
      <c r="B38" s="7" t="inlineStr"/>
      <c r="C38" s="8" t="inlineStr">
        <is>
          <t>DISEÑO</t>
        </is>
      </c>
      <c r="D38" s="7" t="inlineStr">
        <is>
          <t>Fase</t>
        </is>
      </c>
      <c r="E38" s="9" t="inlineStr"/>
      <c r="F38" s="9" t="inlineStr"/>
      <c r="G38" s="7">
        <f>SUM(G39:G43)</f>
        <v/>
      </c>
      <c r="H38" s="7">
        <f>IF(D38="Hito",0,J38-I38+1)</f>
        <v/>
      </c>
      <c r="I38" s="10">
        <f>MIN(I39:I43)</f>
        <v/>
      </c>
      <c r="J38" s="10">
        <f>MAX(J39:J43)</f>
        <v/>
      </c>
      <c r="K38" s="8" t="inlineStr"/>
      <c r="L38" s="7" t="inlineStr"/>
      <c r="M38" s="7" t="inlineStr"/>
      <c r="N38" s="11">
        <f>IFERROR(SUMPRODUCT(G39:G43,N39:N43)/SUM(G39:G43),0)</f>
        <v/>
      </c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12" t="n"/>
      <c r="BS38" s="12" t="n"/>
      <c r="BT38" s="12" t="n"/>
    </row>
    <row r="39">
      <c r="A39" s="13" t="inlineStr">
        <is>
          <t>3101</t>
        </is>
      </c>
      <c r="B39" s="13" t="inlineStr">
        <is>
          <t>3.1</t>
        </is>
      </c>
      <c r="C39" s="14" t="inlineStr">
        <is>
          <t>Diseñar la arquitectura y el despliegue</t>
        </is>
      </c>
      <c r="D39" s="13" t="inlineStr">
        <is>
          <t>Actividad</t>
        </is>
      </c>
      <c r="E39" s="15" t="inlineStr">
        <is>
          <t>Diego Agudelo</t>
        </is>
      </c>
      <c r="F39" s="15" t="inlineStr">
        <is>
          <t>Diego Agudelo</t>
        </is>
      </c>
      <c r="G39" s="13" t="n">
        <v>8</v>
      </c>
      <c r="H39" s="13">
        <f>IF(D39="Hito",0,J39-I39+1)</f>
        <v/>
      </c>
      <c r="I39" s="16" t="n">
        <v>46307</v>
      </c>
      <c r="J39" s="16" t="n">
        <v>46309</v>
      </c>
      <c r="K39" s="14" t="inlineStr">
        <is>
          <t>H04</t>
        </is>
      </c>
      <c r="L39" s="13" t="inlineStr">
        <is>
          <t>Diseño</t>
        </is>
      </c>
      <c r="M39" s="13" t="inlineStr">
        <is>
          <t>—</t>
        </is>
      </c>
      <c r="N39" s="19" t="n">
        <v>0</v>
      </c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12" t="n"/>
      <c r="BS39" s="12" t="n"/>
      <c r="BT39" s="12" t="n"/>
    </row>
    <row r="40">
      <c r="A40" s="13" t="inlineStr">
        <is>
          <t>3201</t>
        </is>
      </c>
      <c r="B40" s="13" t="inlineStr">
        <is>
          <t>3.2</t>
        </is>
      </c>
      <c r="C40" s="14" t="inlineStr">
        <is>
          <t>Elaborar los diagramas UML de diseño</t>
        </is>
      </c>
      <c r="D40" s="13" t="inlineStr">
        <is>
          <t>Actividad</t>
        </is>
      </c>
      <c r="E40" s="15" t="inlineStr">
        <is>
          <t>Jahan Chará</t>
        </is>
      </c>
      <c r="F40" s="15" t="inlineStr">
        <is>
          <t>Jahan Chará</t>
        </is>
      </c>
      <c r="G40" s="13" t="n">
        <v>10</v>
      </c>
      <c r="H40" s="13">
        <f>IF(D40="Hito",0,J40-I40+1)</f>
        <v/>
      </c>
      <c r="I40" s="16" t="n">
        <v>46307</v>
      </c>
      <c r="J40" s="16" t="n">
        <v>46310</v>
      </c>
      <c r="K40" s="14" t="inlineStr">
        <is>
          <t>H04</t>
        </is>
      </c>
      <c r="L40" s="13" t="inlineStr">
        <is>
          <t>Diseño</t>
        </is>
      </c>
      <c r="M40" s="13" t="inlineStr">
        <is>
          <t>—</t>
        </is>
      </c>
      <c r="N40" s="19" t="n">
        <v>0</v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12" t="n"/>
      <c r="BS40" s="12" t="n"/>
      <c r="BT40" s="12" t="n"/>
    </row>
    <row r="41">
      <c r="A41" s="13" t="inlineStr">
        <is>
          <t>3401</t>
        </is>
      </c>
      <c r="B41" s="13" t="inlineStr">
        <is>
          <t>3.4</t>
        </is>
      </c>
      <c r="C41" s="14" t="inlineStr">
        <is>
          <t>Diseñar los prototipos de interfaz</t>
        </is>
      </c>
      <c r="D41" s="13" t="inlineStr">
        <is>
          <t>Actividad</t>
        </is>
      </c>
      <c r="E41" s="15" t="inlineStr">
        <is>
          <t>Cristian Cruz</t>
        </is>
      </c>
      <c r="F41" s="15" t="inlineStr">
        <is>
          <t>Cristian Cruz</t>
        </is>
      </c>
      <c r="G41" s="13" t="n">
        <v>10</v>
      </c>
      <c r="H41" s="13">
        <f>IF(D41="Hito",0,J41-I41+1)</f>
        <v/>
      </c>
      <c r="I41" s="16" t="n">
        <v>46307</v>
      </c>
      <c r="J41" s="16" t="n">
        <v>46310</v>
      </c>
      <c r="K41" s="14" t="inlineStr">
        <is>
          <t>H04</t>
        </is>
      </c>
      <c r="L41" s="13" t="inlineStr">
        <is>
          <t>Diseño</t>
        </is>
      </c>
      <c r="M41" s="13" t="inlineStr">
        <is>
          <t>—</t>
        </is>
      </c>
      <c r="N41" s="19" t="n">
        <v>0</v>
      </c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12" t="n"/>
      <c r="BS41" s="12" t="n"/>
      <c r="BT41" s="12" t="n"/>
    </row>
    <row r="42">
      <c r="A42" s="13" t="inlineStr">
        <is>
          <t>3301</t>
        </is>
      </c>
      <c r="B42" s="13" t="inlineStr">
        <is>
          <t>3.3</t>
        </is>
      </c>
      <c r="C42" s="14" t="inlineStr">
        <is>
          <t>Diseñar el modelo de datos y la API</t>
        </is>
      </c>
      <c r="D42" s="13" t="inlineStr">
        <is>
          <t>Actividad</t>
        </is>
      </c>
      <c r="E42" s="15" t="inlineStr">
        <is>
          <t>Diego Agudelo</t>
        </is>
      </c>
      <c r="F42" s="15" t="inlineStr">
        <is>
          <t>Diego Agudelo</t>
        </is>
      </c>
      <c r="G42" s="13" t="n">
        <v>8</v>
      </c>
      <c r="H42" s="13">
        <f>IF(D42="Hito",0,J42-I42+1)</f>
        <v/>
      </c>
      <c r="I42" s="16" t="n">
        <v>46310</v>
      </c>
      <c r="J42" s="16" t="n">
        <v>46312</v>
      </c>
      <c r="K42" s="14" t="inlineStr">
        <is>
          <t>3101</t>
        </is>
      </c>
      <c r="L42" s="13" t="inlineStr">
        <is>
          <t>Diseño</t>
        </is>
      </c>
      <c r="M42" s="13" t="inlineStr">
        <is>
          <t>—</t>
        </is>
      </c>
      <c r="N42" s="19" t="n">
        <v>0</v>
      </c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  <c r="AA42" s="12" t="n"/>
      <c r="AB42" s="12" t="n"/>
      <c r="AC42" s="12" t="n"/>
      <c r="AD42" s="12" t="n"/>
      <c r="AE42" s="12" t="n"/>
      <c r="AF42" s="12" t="n"/>
      <c r="AG42" s="12" t="n"/>
      <c r="AH42" s="12" t="n"/>
      <c r="AI42" s="12" t="n"/>
      <c r="AJ42" s="12" t="n"/>
      <c r="AK42" s="12" t="n"/>
      <c r="AL42" s="12" t="n"/>
      <c r="AM42" s="12" t="n"/>
      <c r="AN42" s="12" t="n"/>
      <c r="AO42" s="12" t="n"/>
      <c r="AP42" s="12" t="n"/>
      <c r="AQ42" s="12" t="n"/>
      <c r="AR42" s="12" t="n"/>
      <c r="AS42" s="12" t="n"/>
      <c r="AT42" s="12" t="n"/>
      <c r="AU42" s="12" t="n"/>
      <c r="AV42" s="12" t="n"/>
      <c r="AW42" s="12" t="n"/>
      <c r="AX42" s="12" t="n"/>
      <c r="AY42" s="12" t="n"/>
      <c r="AZ42" s="12" t="n"/>
      <c r="BA42" s="12" t="n"/>
      <c r="BB42" s="12" t="n"/>
      <c r="BC42" s="12" t="n"/>
      <c r="BD42" s="12" t="n"/>
      <c r="BE42" s="12" t="n"/>
      <c r="BF42" s="12" t="n"/>
      <c r="BG42" s="12" t="n"/>
      <c r="BH42" s="12" t="n"/>
      <c r="BI42" s="12" t="n"/>
      <c r="BJ42" s="12" t="n"/>
      <c r="BK42" s="12" t="n"/>
      <c r="BL42" s="12" t="n"/>
      <c r="BM42" s="12" t="n"/>
      <c r="BN42" s="12" t="n"/>
      <c r="BO42" s="12" t="n"/>
      <c r="BP42" s="12" t="n"/>
      <c r="BQ42" s="12" t="n"/>
      <c r="BR42" s="12" t="n"/>
      <c r="BS42" s="12" t="n"/>
      <c r="BT42" s="12" t="n"/>
    </row>
    <row r="43">
      <c r="A43" s="13" t="inlineStr">
        <is>
          <t>3501</t>
        </is>
      </c>
      <c r="B43" s="13" t="inlineStr">
        <is>
          <t>3.5</t>
        </is>
      </c>
      <c r="C43" s="14" t="inlineStr">
        <is>
          <t>Diseñar la escena 3D y construir el prototipo técnico</t>
        </is>
      </c>
      <c r="D43" s="13" t="inlineStr">
        <is>
          <t>Actividad</t>
        </is>
      </c>
      <c r="E43" s="15" t="inlineStr">
        <is>
          <t>Cristian Cruz</t>
        </is>
      </c>
      <c r="F43" s="15" t="inlineStr">
        <is>
          <t>Cristian Cruz</t>
        </is>
      </c>
      <c r="G43" s="13" t="n">
        <v>8</v>
      </c>
      <c r="H43" s="13">
        <f>IF(D43="Hito",0,J43-I43+1)</f>
        <v/>
      </c>
      <c r="I43" s="16" t="n">
        <v>46311</v>
      </c>
      <c r="J43" s="16" t="n">
        <v>46313</v>
      </c>
      <c r="K43" s="14" t="inlineStr">
        <is>
          <t>3401</t>
        </is>
      </c>
      <c r="L43" s="13" t="inlineStr">
        <is>
          <t>Diseño</t>
        </is>
      </c>
      <c r="M43" s="13" t="inlineStr">
        <is>
          <t>—</t>
        </is>
      </c>
      <c r="N43" s="19" t="n">
        <v>0</v>
      </c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  <c r="AR43" s="12" t="n"/>
      <c r="AS43" s="12" t="n"/>
      <c r="AT43" s="12" t="n"/>
      <c r="AU43" s="12" t="n"/>
      <c r="AV43" s="12" t="n"/>
      <c r="AW43" s="12" t="n"/>
      <c r="AX43" s="12" t="n"/>
      <c r="AY43" s="12" t="n"/>
      <c r="AZ43" s="12" t="n"/>
      <c r="BA43" s="12" t="n"/>
      <c r="BB43" s="12" t="n"/>
      <c r="BC43" s="12" t="n"/>
      <c r="BD43" s="12" t="n"/>
      <c r="BE43" s="12" t="n"/>
      <c r="BF43" s="12" t="n"/>
      <c r="BG43" s="12" t="n"/>
      <c r="BH43" s="12" t="n"/>
      <c r="BI43" s="12" t="n"/>
      <c r="BJ43" s="12" t="n"/>
      <c r="BK43" s="12" t="n"/>
      <c r="BL43" s="12" t="n"/>
      <c r="BM43" s="12" t="n"/>
      <c r="BN43" s="12" t="n"/>
      <c r="BO43" s="12" t="n"/>
      <c r="BP43" s="12" t="n"/>
      <c r="BQ43" s="12" t="n"/>
      <c r="BR43" s="12" t="n"/>
      <c r="BS43" s="12" t="n"/>
      <c r="BT43" s="12" t="n"/>
    </row>
    <row r="44">
      <c r="A44" s="7" t="inlineStr"/>
      <c r="B44" s="7" t="inlineStr"/>
      <c r="C44" s="8" t="inlineStr">
        <is>
          <t>CONSTRUCCIÓN – 4.1 SIMULADOR 3D</t>
        </is>
      </c>
      <c r="D44" s="7" t="inlineStr">
        <is>
          <t>Fase</t>
        </is>
      </c>
      <c r="E44" s="9" t="inlineStr"/>
      <c r="F44" s="9" t="inlineStr"/>
      <c r="G44" s="7">
        <f>SUM(G45:G52)</f>
        <v/>
      </c>
      <c r="H44" s="7">
        <f>IF(D44="Hito",0,J44-I44+1)</f>
        <v/>
      </c>
      <c r="I44" s="10">
        <f>MIN(I45:I52)</f>
        <v/>
      </c>
      <c r="J44" s="10">
        <f>MAX(J45:J52)</f>
        <v/>
      </c>
      <c r="K44" s="8" t="inlineStr"/>
      <c r="L44" s="7" t="inlineStr"/>
      <c r="M44" s="7" t="inlineStr"/>
      <c r="N44" s="11">
        <f>IFERROR(SUMPRODUCT(G45:G52,N45:N52)/SUM(G45:G52),0)</f>
        <v/>
      </c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2" t="n"/>
      <c r="Z44" s="12" t="n"/>
      <c r="AA44" s="12" t="n"/>
      <c r="AB44" s="12" t="n"/>
      <c r="AC44" s="12" t="n"/>
      <c r="AD44" s="12" t="n"/>
      <c r="AE44" s="12" t="n"/>
      <c r="AF44" s="12" t="n"/>
      <c r="AG44" s="12" t="n"/>
      <c r="AH44" s="12" t="n"/>
      <c r="AI44" s="12" t="n"/>
      <c r="AJ44" s="12" t="n"/>
      <c r="AK44" s="12" t="n"/>
      <c r="AL44" s="12" t="n"/>
      <c r="AM44" s="12" t="n"/>
      <c r="AN44" s="12" t="n"/>
      <c r="AO44" s="12" t="n"/>
      <c r="AP44" s="12" t="n"/>
      <c r="AQ44" s="12" t="n"/>
      <c r="AR44" s="12" t="n"/>
      <c r="AS44" s="12" t="n"/>
      <c r="AT44" s="12" t="n"/>
      <c r="AU44" s="12" t="n"/>
      <c r="AV44" s="12" t="n"/>
      <c r="AW44" s="12" t="n"/>
      <c r="AX44" s="12" t="n"/>
      <c r="AY44" s="12" t="n"/>
      <c r="AZ44" s="12" t="n"/>
      <c r="BA44" s="12" t="n"/>
      <c r="BB44" s="12" t="n"/>
      <c r="BC44" s="12" t="n"/>
      <c r="BD44" s="12" t="n"/>
      <c r="BE44" s="12" t="n"/>
      <c r="BF44" s="12" t="n"/>
      <c r="BG44" s="12" t="n"/>
      <c r="BH44" s="12" t="n"/>
      <c r="BI44" s="12" t="n"/>
      <c r="BJ44" s="12" t="n"/>
      <c r="BK44" s="12" t="n"/>
      <c r="BL44" s="12" t="n"/>
      <c r="BM44" s="12" t="n"/>
      <c r="BN44" s="12" t="n"/>
      <c r="BO44" s="12" t="n"/>
      <c r="BP44" s="12" t="n"/>
      <c r="BQ44" s="12" t="n"/>
      <c r="BR44" s="12" t="n"/>
      <c r="BS44" s="12" t="n"/>
      <c r="BT44" s="12" t="n"/>
    </row>
    <row r="45">
      <c r="A45" s="13" t="inlineStr">
        <is>
          <t>4101</t>
        </is>
      </c>
      <c r="B45" s="13" t="inlineStr">
        <is>
          <t>4.1.1</t>
        </is>
      </c>
      <c r="C45" s="14" t="inlineStr">
        <is>
          <t>Desarrollar la escena 3D del tracto superior (RF-03.1)</t>
        </is>
      </c>
      <c r="D45" s="13" t="inlineStr">
        <is>
          <t>Actividad</t>
        </is>
      </c>
      <c r="E45" s="15" t="inlineStr">
        <is>
          <t>Cristian Cruz</t>
        </is>
      </c>
      <c r="F45" s="15" t="inlineStr">
        <is>
          <t>Cristian Cruz</t>
        </is>
      </c>
      <c r="G45" s="13" t="n">
        <v>30</v>
      </c>
      <c r="H45" s="13">
        <f>IF(D45="Hito",0,J45-I45+1)</f>
        <v/>
      </c>
      <c r="I45" s="16" t="n">
        <v>46314</v>
      </c>
      <c r="J45" s="16" t="n">
        <v>46323</v>
      </c>
      <c r="K45" s="14" t="inlineStr">
        <is>
          <t>3501</t>
        </is>
      </c>
      <c r="L45" s="13" t="inlineStr">
        <is>
          <t>Ciclo TSP 2</t>
        </is>
      </c>
      <c r="M45" s="13" t="inlineStr">
        <is>
          <t>Must</t>
        </is>
      </c>
      <c r="N45" s="19" t="n">
        <v>0</v>
      </c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  <c r="AR45" s="12" t="n"/>
      <c r="AS45" s="12" t="n"/>
      <c r="AT45" s="12" t="n"/>
      <c r="AU45" s="12" t="n"/>
      <c r="AV45" s="12" t="n"/>
      <c r="AW45" s="12" t="n"/>
      <c r="AX45" s="12" t="n"/>
      <c r="AY45" s="12" t="n"/>
      <c r="AZ45" s="12" t="n"/>
      <c r="BA45" s="12" t="n"/>
      <c r="BB45" s="12" t="n"/>
      <c r="BC45" s="12" t="n"/>
      <c r="BD45" s="12" t="n"/>
      <c r="BE45" s="12" t="n"/>
      <c r="BF45" s="12" t="n"/>
      <c r="BG45" s="12" t="n"/>
      <c r="BH45" s="12" t="n"/>
      <c r="BI45" s="12" t="n"/>
      <c r="BJ45" s="12" t="n"/>
      <c r="BK45" s="12" t="n"/>
      <c r="BL45" s="12" t="n"/>
      <c r="BM45" s="12" t="n"/>
      <c r="BN45" s="12" t="n"/>
      <c r="BO45" s="12" t="n"/>
      <c r="BP45" s="12" t="n"/>
      <c r="BQ45" s="12" t="n"/>
      <c r="BR45" s="12" t="n"/>
      <c r="BS45" s="12" t="n"/>
      <c r="BT45" s="12" t="n"/>
    </row>
    <row r="46">
      <c r="A46" s="13" t="inlineStr">
        <is>
          <t>4102</t>
        </is>
      </c>
      <c r="B46" s="13" t="inlineStr">
        <is>
          <t>4.1.2</t>
        </is>
      </c>
      <c r="C46" s="14" t="inlineStr">
        <is>
          <t>Desarrollar el control del endoscopio virtual (RF-03.2)</t>
        </is>
      </c>
      <c r="D46" s="13" t="inlineStr">
        <is>
          <t>Actividad</t>
        </is>
      </c>
      <c r="E46" s="15" t="inlineStr">
        <is>
          <t>Cristian Cruz</t>
        </is>
      </c>
      <c r="F46" s="15" t="inlineStr">
        <is>
          <t>Cristian Cruz</t>
        </is>
      </c>
      <c r="G46" s="13" t="n">
        <v>16</v>
      </c>
      <c r="H46" s="13">
        <f>IF(D46="Hito",0,J46-I46+1)</f>
        <v/>
      </c>
      <c r="I46" s="16" t="n">
        <v>46324</v>
      </c>
      <c r="J46" s="16" t="n">
        <v>46329</v>
      </c>
      <c r="K46" s="14" t="inlineStr">
        <is>
          <t>4101</t>
        </is>
      </c>
      <c r="L46" s="13" t="inlineStr">
        <is>
          <t>Ciclo TSP 2</t>
        </is>
      </c>
      <c r="M46" s="13" t="inlineStr">
        <is>
          <t>Must</t>
        </is>
      </c>
      <c r="N46" s="19" t="n">
        <v>0</v>
      </c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2" t="n"/>
      <c r="Y46" s="12" t="n"/>
      <c r="Z46" s="12" t="n"/>
      <c r="AA46" s="12" t="n"/>
      <c r="AB46" s="12" t="n"/>
      <c r="AC46" s="12" t="n"/>
      <c r="AD46" s="12" t="n"/>
      <c r="AE46" s="12" t="n"/>
      <c r="AF46" s="12" t="n"/>
      <c r="AG46" s="12" t="n"/>
      <c r="AH46" s="12" t="n"/>
      <c r="AI46" s="12" t="n"/>
      <c r="AJ46" s="12" t="n"/>
      <c r="AK46" s="12" t="n"/>
      <c r="AL46" s="12" t="n"/>
      <c r="AM46" s="12" t="n"/>
      <c r="AN46" s="12" t="n"/>
      <c r="AO46" s="12" t="n"/>
      <c r="AP46" s="12" t="n"/>
      <c r="AQ46" s="12" t="n"/>
      <c r="AR46" s="12" t="n"/>
      <c r="AS46" s="12" t="n"/>
      <c r="AT46" s="12" t="n"/>
      <c r="AU46" s="12" t="n"/>
      <c r="AV46" s="12" t="n"/>
      <c r="AW46" s="12" t="n"/>
      <c r="AX46" s="12" t="n"/>
      <c r="AY46" s="12" t="n"/>
      <c r="AZ46" s="12" t="n"/>
      <c r="BA46" s="12" t="n"/>
      <c r="BB46" s="12" t="n"/>
      <c r="BC46" s="12" t="n"/>
      <c r="BD46" s="12" t="n"/>
      <c r="BE46" s="12" t="n"/>
      <c r="BF46" s="12" t="n"/>
      <c r="BG46" s="12" t="n"/>
      <c r="BH46" s="12" t="n"/>
      <c r="BI46" s="12" t="n"/>
      <c r="BJ46" s="12" t="n"/>
      <c r="BK46" s="12" t="n"/>
      <c r="BL46" s="12" t="n"/>
      <c r="BM46" s="12" t="n"/>
      <c r="BN46" s="12" t="n"/>
      <c r="BO46" s="12" t="n"/>
      <c r="BP46" s="12" t="n"/>
      <c r="BQ46" s="12" t="n"/>
      <c r="BR46" s="12" t="n"/>
      <c r="BS46" s="12" t="n"/>
      <c r="BT46" s="12" t="n"/>
    </row>
    <row r="47">
      <c r="A47" s="13" t="inlineStr">
        <is>
          <t>4104</t>
        </is>
      </c>
      <c r="B47" s="13" t="inlineStr">
        <is>
          <t>4.1.4</t>
        </is>
      </c>
      <c r="C47" s="14" t="inlineStr">
        <is>
          <t>Mostrar el hallazgo del caso en la escena 3D (RF-03.4)</t>
        </is>
      </c>
      <c r="D47" s="13" t="inlineStr">
        <is>
          <t>Actividad</t>
        </is>
      </c>
      <c r="E47" s="15" t="inlineStr">
        <is>
          <t>Cristian Cruz</t>
        </is>
      </c>
      <c r="F47" s="15" t="inlineStr">
        <is>
          <t>Cristian Cruz</t>
        </is>
      </c>
      <c r="G47" s="13" t="n">
        <v>10</v>
      </c>
      <c r="H47" s="13">
        <f>IF(D47="Hito",0,J47-I47+1)</f>
        <v/>
      </c>
      <c r="I47" s="16" t="n">
        <v>46330</v>
      </c>
      <c r="J47" s="16" t="n">
        <v>46333</v>
      </c>
      <c r="K47" s="14" t="inlineStr">
        <is>
          <t>4102, 4207</t>
        </is>
      </c>
      <c r="L47" s="13" t="inlineStr">
        <is>
          <t>Ciclo TSP 2</t>
        </is>
      </c>
      <c r="M47" s="13" t="inlineStr">
        <is>
          <t>Must</t>
        </is>
      </c>
      <c r="N47" s="19" t="n">
        <v>0</v>
      </c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  <c r="AR47" s="12" t="n"/>
      <c r="AS47" s="12" t="n"/>
      <c r="AT47" s="12" t="n"/>
      <c r="AU47" s="12" t="n"/>
      <c r="AV47" s="12" t="n"/>
      <c r="AW47" s="12" t="n"/>
      <c r="AX47" s="12" t="n"/>
      <c r="AY47" s="12" t="n"/>
      <c r="AZ47" s="12" t="n"/>
      <c r="BA47" s="12" t="n"/>
      <c r="BB47" s="12" t="n"/>
      <c r="BC47" s="12" t="n"/>
      <c r="BD47" s="12" t="n"/>
      <c r="BE47" s="12" t="n"/>
      <c r="BF47" s="12" t="n"/>
      <c r="BG47" s="12" t="n"/>
      <c r="BH47" s="12" t="n"/>
      <c r="BI47" s="12" t="n"/>
      <c r="BJ47" s="12" t="n"/>
      <c r="BK47" s="12" t="n"/>
      <c r="BL47" s="12" t="n"/>
      <c r="BM47" s="12" t="n"/>
      <c r="BN47" s="12" t="n"/>
      <c r="BO47" s="12" t="n"/>
      <c r="BP47" s="12" t="n"/>
      <c r="BQ47" s="12" t="n"/>
      <c r="BR47" s="12" t="n"/>
      <c r="BS47" s="12" t="n"/>
      <c r="BT47" s="12" t="n"/>
    </row>
    <row r="48">
      <c r="A48" s="13" t="inlineStr">
        <is>
          <t>4103</t>
        </is>
      </c>
      <c r="B48" s="13" t="inlineStr">
        <is>
          <t>4.1.3</t>
        </is>
      </c>
      <c r="C48" s="14" t="inlineStr">
        <is>
          <t>Desarrollar el registro de hitos anatómicos (RF-03.3)</t>
        </is>
      </c>
      <c r="D48" s="13" t="inlineStr">
        <is>
          <t>Actividad</t>
        </is>
      </c>
      <c r="E48" s="15" t="inlineStr">
        <is>
          <t>Cristian Cruz</t>
        </is>
      </c>
      <c r="F48" s="15" t="inlineStr">
        <is>
          <t>Emmanuel Ospina</t>
        </is>
      </c>
      <c r="G48" s="13" t="n">
        <v>8</v>
      </c>
      <c r="H48" s="13">
        <f>IF(D48="Hito",0,J48-I48+1)</f>
        <v/>
      </c>
      <c r="I48" s="16" t="n">
        <v>46334</v>
      </c>
      <c r="J48" s="16" t="n">
        <v>46336</v>
      </c>
      <c r="K48" s="14" t="inlineStr">
        <is>
          <t>4102</t>
        </is>
      </c>
      <c r="L48" s="13" t="inlineStr">
        <is>
          <t>Ciclo TSP 2</t>
        </is>
      </c>
      <c r="M48" s="13" t="inlineStr">
        <is>
          <t>Must</t>
        </is>
      </c>
      <c r="N48" s="19" t="n">
        <v>0</v>
      </c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2" t="n"/>
      <c r="AA48" s="12" t="n"/>
      <c r="AB48" s="12" t="n"/>
      <c r="AC48" s="12" t="n"/>
      <c r="AD48" s="12" t="n"/>
      <c r="AE48" s="12" t="n"/>
      <c r="AF48" s="12" t="n"/>
      <c r="AG48" s="12" t="n"/>
      <c r="AH48" s="12" t="n"/>
      <c r="AI48" s="12" t="n"/>
      <c r="AJ48" s="12" t="n"/>
      <c r="AK48" s="12" t="n"/>
      <c r="AL48" s="12" t="n"/>
      <c r="AM48" s="12" t="n"/>
      <c r="AN48" s="12" t="n"/>
      <c r="AO48" s="12" t="n"/>
      <c r="AP48" s="12" t="n"/>
      <c r="AQ48" s="12" t="n"/>
      <c r="AR48" s="12" t="n"/>
      <c r="AS48" s="12" t="n"/>
      <c r="AT48" s="12" t="n"/>
      <c r="AU48" s="12" t="n"/>
      <c r="AV48" s="12" t="n"/>
      <c r="AW48" s="12" t="n"/>
      <c r="AX48" s="12" t="n"/>
      <c r="AY48" s="12" t="n"/>
      <c r="AZ48" s="12" t="n"/>
      <c r="BA48" s="12" t="n"/>
      <c r="BB48" s="12" t="n"/>
      <c r="BC48" s="12" t="n"/>
      <c r="BD48" s="12" t="n"/>
      <c r="BE48" s="12" t="n"/>
      <c r="BF48" s="12" t="n"/>
      <c r="BG48" s="12" t="n"/>
      <c r="BH48" s="12" t="n"/>
      <c r="BI48" s="12" t="n"/>
      <c r="BJ48" s="12" t="n"/>
      <c r="BK48" s="12" t="n"/>
      <c r="BL48" s="12" t="n"/>
      <c r="BM48" s="12" t="n"/>
      <c r="BN48" s="12" t="n"/>
      <c r="BO48" s="12" t="n"/>
      <c r="BP48" s="12" t="n"/>
      <c r="BQ48" s="12" t="n"/>
      <c r="BR48" s="12" t="n"/>
      <c r="BS48" s="12" t="n"/>
      <c r="BT48" s="12" t="n"/>
    </row>
    <row r="49">
      <c r="A49" s="13" t="inlineStr">
        <is>
          <t>4105</t>
        </is>
      </c>
      <c r="B49" s="13" t="inlineStr">
        <is>
          <t>4.1.5</t>
        </is>
      </c>
      <c r="C49" s="14" t="inlineStr">
        <is>
          <t>Desarrollar la captura del hallazgo (RF-03.5)</t>
        </is>
      </c>
      <c r="D49" s="13" t="inlineStr">
        <is>
          <t>Actividad</t>
        </is>
      </c>
      <c r="E49" s="15" t="inlineStr">
        <is>
          <t>Cristian Cruz</t>
        </is>
      </c>
      <c r="F49" s="15" t="inlineStr">
        <is>
          <t>Cristian Cruz</t>
        </is>
      </c>
      <c r="G49" s="13" t="n">
        <v>10</v>
      </c>
      <c r="H49" s="13">
        <f>IF(D49="Hito",0,J49-I49+1)</f>
        <v/>
      </c>
      <c r="I49" s="16" t="n">
        <v>46334</v>
      </c>
      <c r="J49" s="16" t="n">
        <v>46337</v>
      </c>
      <c r="K49" s="14" t="inlineStr">
        <is>
          <t>4104</t>
        </is>
      </c>
      <c r="L49" s="13" t="inlineStr">
        <is>
          <t>Ciclo TSP 2</t>
        </is>
      </c>
      <c r="M49" s="13" t="inlineStr">
        <is>
          <t>Must</t>
        </is>
      </c>
      <c r="N49" s="19" t="n">
        <v>0</v>
      </c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  <c r="AR49" s="12" t="n"/>
      <c r="AS49" s="12" t="n"/>
      <c r="AT49" s="12" t="n"/>
      <c r="AU49" s="12" t="n"/>
      <c r="AV49" s="12" t="n"/>
      <c r="AW49" s="12" t="n"/>
      <c r="AX49" s="12" t="n"/>
      <c r="AY49" s="12" t="n"/>
      <c r="AZ49" s="12" t="n"/>
      <c r="BA49" s="12" t="n"/>
      <c r="BB49" s="12" t="n"/>
      <c r="BC49" s="12" t="n"/>
      <c r="BD49" s="12" t="n"/>
      <c r="BE49" s="12" t="n"/>
      <c r="BF49" s="12" t="n"/>
      <c r="BG49" s="12" t="n"/>
      <c r="BH49" s="12" t="n"/>
      <c r="BI49" s="12" t="n"/>
      <c r="BJ49" s="12" t="n"/>
      <c r="BK49" s="12" t="n"/>
      <c r="BL49" s="12" t="n"/>
      <c r="BM49" s="12" t="n"/>
      <c r="BN49" s="12" t="n"/>
      <c r="BO49" s="12" t="n"/>
      <c r="BP49" s="12" t="n"/>
      <c r="BQ49" s="12" t="n"/>
      <c r="BR49" s="12" t="n"/>
      <c r="BS49" s="12" t="n"/>
      <c r="BT49" s="12" t="n"/>
    </row>
    <row r="50">
      <c r="A50" s="13" t="inlineStr">
        <is>
          <t>4108</t>
        </is>
      </c>
      <c r="B50" s="13" t="inlineStr">
        <is>
          <t>4.1.8</t>
        </is>
      </c>
      <c r="C50" s="14" t="inlineStr">
        <is>
          <t>Optimizar el rendimiento de la escena 3D (RNF-01)</t>
        </is>
      </c>
      <c r="D50" s="13" t="inlineStr">
        <is>
          <t>Actividad</t>
        </is>
      </c>
      <c r="E50" s="15" t="inlineStr">
        <is>
          <t>Cristian Cruz</t>
        </is>
      </c>
      <c r="F50" s="15" t="inlineStr">
        <is>
          <t>Cristian Cruz</t>
        </is>
      </c>
      <c r="G50" s="13" t="n">
        <v>6</v>
      </c>
      <c r="H50" s="13">
        <f>IF(D50="Hito",0,J50-I50+1)</f>
        <v/>
      </c>
      <c r="I50" s="16" t="n">
        <v>46338</v>
      </c>
      <c r="J50" s="16" t="n">
        <v>46339</v>
      </c>
      <c r="K50" s="14" t="inlineStr">
        <is>
          <t>4105</t>
        </is>
      </c>
      <c r="L50" s="13" t="inlineStr">
        <is>
          <t>Ciclo TSP 2</t>
        </is>
      </c>
      <c r="M50" s="13" t="inlineStr">
        <is>
          <t>Must</t>
        </is>
      </c>
      <c r="N50" s="19" t="n">
        <v>0</v>
      </c>
      <c r="O50" s="12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  <c r="AA50" s="12" t="n"/>
      <c r="AB50" s="12" t="n"/>
      <c r="AC50" s="12" t="n"/>
      <c r="AD50" s="12" t="n"/>
      <c r="AE50" s="12" t="n"/>
      <c r="AF50" s="12" t="n"/>
      <c r="AG50" s="12" t="n"/>
      <c r="AH50" s="12" t="n"/>
      <c r="AI50" s="12" t="n"/>
      <c r="AJ50" s="12" t="n"/>
      <c r="AK50" s="12" t="n"/>
      <c r="AL50" s="12" t="n"/>
      <c r="AM50" s="12" t="n"/>
      <c r="AN50" s="12" t="n"/>
      <c r="AO50" s="12" t="n"/>
      <c r="AP50" s="12" t="n"/>
      <c r="AQ50" s="12" t="n"/>
      <c r="AR50" s="12" t="n"/>
      <c r="AS50" s="12" t="n"/>
      <c r="AT50" s="12" t="n"/>
      <c r="AU50" s="12" t="n"/>
      <c r="AV50" s="12" t="n"/>
      <c r="AW50" s="12" t="n"/>
      <c r="AX50" s="12" t="n"/>
      <c r="AY50" s="12" t="n"/>
      <c r="AZ50" s="12" t="n"/>
      <c r="BA50" s="12" t="n"/>
      <c r="BB50" s="12" t="n"/>
      <c r="BC50" s="12" t="n"/>
      <c r="BD50" s="12" t="n"/>
      <c r="BE50" s="12" t="n"/>
      <c r="BF50" s="12" t="n"/>
      <c r="BG50" s="12" t="n"/>
      <c r="BH50" s="12" t="n"/>
      <c r="BI50" s="12" t="n"/>
      <c r="BJ50" s="12" t="n"/>
      <c r="BK50" s="12" t="n"/>
      <c r="BL50" s="12" t="n"/>
      <c r="BM50" s="12" t="n"/>
      <c r="BN50" s="12" t="n"/>
      <c r="BO50" s="12" t="n"/>
      <c r="BP50" s="12" t="n"/>
      <c r="BQ50" s="12" t="n"/>
      <c r="BR50" s="12" t="n"/>
      <c r="BS50" s="12" t="n"/>
      <c r="BT50" s="12" t="n"/>
    </row>
    <row r="51">
      <c r="A51" s="13" t="inlineStr">
        <is>
          <t>4106</t>
        </is>
      </c>
      <c r="B51" s="13" t="inlineStr">
        <is>
          <t>4.1.6</t>
        </is>
      </c>
      <c r="C51" s="14" t="inlineStr">
        <is>
          <t>Desarrollar el minimapa (RF-03.6)</t>
        </is>
      </c>
      <c r="D51" s="13" t="inlineStr">
        <is>
          <t>Actividad</t>
        </is>
      </c>
      <c r="E51" s="15" t="inlineStr">
        <is>
          <t>Cristian Cruz</t>
        </is>
      </c>
      <c r="F51" s="15" t="inlineStr">
        <is>
          <t>Cristian Cruz</t>
        </is>
      </c>
      <c r="G51" s="13" t="n">
        <v>10</v>
      </c>
      <c r="H51" s="13">
        <f>IF(D51="Hito",0,J51-I51+1)</f>
        <v/>
      </c>
      <c r="I51" s="16" t="n">
        <v>46340</v>
      </c>
      <c r="J51" s="16" t="n">
        <v>46343</v>
      </c>
      <c r="K51" s="14" t="inlineStr">
        <is>
          <t>4105</t>
        </is>
      </c>
      <c r="L51" s="13" t="inlineStr">
        <is>
          <t>Ciclo TSP 3</t>
        </is>
      </c>
      <c r="M51" s="13" t="inlineStr">
        <is>
          <t>Should</t>
        </is>
      </c>
      <c r="N51" s="19" t="n">
        <v>0</v>
      </c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  <c r="AR51" s="12" t="n"/>
      <c r="AS51" s="12" t="n"/>
      <c r="AT51" s="12" t="n"/>
      <c r="AU51" s="12" t="n"/>
      <c r="AV51" s="12" t="n"/>
      <c r="AW51" s="12" t="n"/>
      <c r="AX51" s="12" t="n"/>
      <c r="AY51" s="12" t="n"/>
      <c r="AZ51" s="12" t="n"/>
      <c r="BA51" s="12" t="n"/>
      <c r="BB51" s="12" t="n"/>
      <c r="BC51" s="12" t="n"/>
      <c r="BD51" s="12" t="n"/>
      <c r="BE51" s="12" t="n"/>
      <c r="BF51" s="12" t="n"/>
      <c r="BG51" s="12" t="n"/>
      <c r="BH51" s="12" t="n"/>
      <c r="BI51" s="12" t="n"/>
      <c r="BJ51" s="12" t="n"/>
      <c r="BK51" s="12" t="n"/>
      <c r="BL51" s="12" t="n"/>
      <c r="BM51" s="12" t="n"/>
      <c r="BN51" s="12" t="n"/>
      <c r="BO51" s="12" t="n"/>
      <c r="BP51" s="12" t="n"/>
      <c r="BQ51" s="12" t="n"/>
      <c r="BR51" s="12" t="n"/>
      <c r="BS51" s="12" t="n"/>
      <c r="BT51" s="12" t="n"/>
    </row>
    <row r="52">
      <c r="A52" s="13" t="inlineStr">
        <is>
          <t>4109</t>
        </is>
      </c>
      <c r="B52" s="13" t="inlineStr">
        <is>
          <t>4.1.9</t>
        </is>
      </c>
      <c r="C52" s="14" t="inlineStr">
        <is>
          <t>Optimizar la carga de la escena 3D (RNF-02)</t>
        </is>
      </c>
      <c r="D52" s="13" t="inlineStr">
        <is>
          <t>Actividad</t>
        </is>
      </c>
      <c r="E52" s="15" t="inlineStr">
        <is>
          <t>Cristian Cruz</t>
        </is>
      </c>
      <c r="F52" s="15" t="inlineStr">
        <is>
          <t>Nestor Velasco</t>
        </is>
      </c>
      <c r="G52" s="13" t="n">
        <v>4</v>
      </c>
      <c r="H52" s="13">
        <f>IF(D52="Hito",0,J52-I52+1)</f>
        <v/>
      </c>
      <c r="I52" s="16" t="n">
        <v>46340</v>
      </c>
      <c r="J52" s="16" t="n">
        <v>46341</v>
      </c>
      <c r="K52" s="14" t="inlineStr">
        <is>
          <t>4108</t>
        </is>
      </c>
      <c r="L52" s="13" t="inlineStr">
        <is>
          <t>Ciclo TSP 2</t>
        </is>
      </c>
      <c r="M52" s="13" t="inlineStr">
        <is>
          <t>Must</t>
        </is>
      </c>
      <c r="N52" s="19" t="n">
        <v>0</v>
      </c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2" t="n"/>
      <c r="Y52" s="12" t="n"/>
      <c r="Z52" s="12" t="n"/>
      <c r="AA52" s="12" t="n"/>
      <c r="AB52" s="12" t="n"/>
      <c r="AC52" s="12" t="n"/>
      <c r="AD52" s="12" t="n"/>
      <c r="AE52" s="12" t="n"/>
      <c r="AF52" s="12" t="n"/>
      <c r="AG52" s="12" t="n"/>
      <c r="AH52" s="12" t="n"/>
      <c r="AI52" s="12" t="n"/>
      <c r="AJ52" s="12" t="n"/>
      <c r="AK52" s="12" t="n"/>
      <c r="AL52" s="12" t="n"/>
      <c r="AM52" s="12" t="n"/>
      <c r="AN52" s="12" t="n"/>
      <c r="AO52" s="12" t="n"/>
      <c r="AP52" s="12" t="n"/>
      <c r="AQ52" s="12" t="n"/>
      <c r="AR52" s="12" t="n"/>
      <c r="AS52" s="12" t="n"/>
      <c r="AT52" s="12" t="n"/>
      <c r="AU52" s="12" t="n"/>
      <c r="AV52" s="12" t="n"/>
      <c r="AW52" s="12" t="n"/>
      <c r="AX52" s="12" t="n"/>
      <c r="AY52" s="12" t="n"/>
      <c r="AZ52" s="12" t="n"/>
      <c r="BA52" s="12" t="n"/>
      <c r="BB52" s="12" t="n"/>
      <c r="BC52" s="12" t="n"/>
      <c r="BD52" s="12" t="n"/>
      <c r="BE52" s="12" t="n"/>
      <c r="BF52" s="12" t="n"/>
      <c r="BG52" s="12" t="n"/>
      <c r="BH52" s="12" t="n"/>
      <c r="BI52" s="12" t="n"/>
      <c r="BJ52" s="12" t="n"/>
      <c r="BK52" s="12" t="n"/>
      <c r="BL52" s="12" t="n"/>
      <c r="BM52" s="12" t="n"/>
      <c r="BN52" s="12" t="n"/>
      <c r="BO52" s="12" t="n"/>
      <c r="BP52" s="12" t="n"/>
      <c r="BQ52" s="12" t="n"/>
      <c r="BR52" s="12" t="n"/>
      <c r="BS52" s="12" t="n"/>
      <c r="BT52" s="12" t="n"/>
    </row>
    <row r="53">
      <c r="A53" s="7" t="inlineStr"/>
      <c r="B53" s="7" t="inlineStr"/>
      <c r="C53" s="8" t="inlineStr">
        <is>
          <t>CONSTRUCCIÓN – 4.2 GENERADOR DE CASOS CON IA</t>
        </is>
      </c>
      <c r="D53" s="7" t="inlineStr">
        <is>
          <t>Fase</t>
        </is>
      </c>
      <c r="E53" s="9" t="inlineStr"/>
      <c r="F53" s="9" t="inlineStr"/>
      <c r="G53" s="7">
        <f>SUM(G54:G66)</f>
        <v/>
      </c>
      <c r="H53" s="7">
        <f>IF(D53="Hito",0,J53-I53+1)</f>
        <v/>
      </c>
      <c r="I53" s="10">
        <f>MIN(I54:I66)</f>
        <v/>
      </c>
      <c r="J53" s="10">
        <f>MAX(J54:J66)</f>
        <v/>
      </c>
      <c r="K53" s="8" t="inlineStr"/>
      <c r="L53" s="7" t="inlineStr"/>
      <c r="M53" s="7" t="inlineStr"/>
      <c r="N53" s="11">
        <f>IFERROR(SUMPRODUCT(G54:G66,N54:N66)/SUM(G54:G66),0)</f>
        <v/>
      </c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  <c r="AR53" s="12" t="n"/>
      <c r="AS53" s="12" t="n"/>
      <c r="AT53" s="12" t="n"/>
      <c r="AU53" s="12" t="n"/>
      <c r="AV53" s="12" t="n"/>
      <c r="AW53" s="12" t="n"/>
      <c r="AX53" s="12" t="n"/>
      <c r="AY53" s="12" t="n"/>
      <c r="AZ53" s="12" t="n"/>
      <c r="BA53" s="12" t="n"/>
      <c r="BB53" s="12" t="n"/>
      <c r="BC53" s="12" t="n"/>
      <c r="BD53" s="12" t="n"/>
      <c r="BE53" s="12" t="n"/>
      <c r="BF53" s="12" t="n"/>
      <c r="BG53" s="12" t="n"/>
      <c r="BH53" s="12" t="n"/>
      <c r="BI53" s="12" t="n"/>
      <c r="BJ53" s="12" t="n"/>
      <c r="BK53" s="12" t="n"/>
      <c r="BL53" s="12" t="n"/>
      <c r="BM53" s="12" t="n"/>
      <c r="BN53" s="12" t="n"/>
      <c r="BO53" s="12" t="n"/>
      <c r="BP53" s="12" t="n"/>
      <c r="BQ53" s="12" t="n"/>
      <c r="BR53" s="12" t="n"/>
      <c r="BS53" s="12" t="n"/>
      <c r="BT53" s="12" t="n"/>
    </row>
    <row r="54">
      <c r="A54" s="13" t="inlineStr">
        <is>
          <t>4205</t>
        </is>
      </c>
      <c r="B54" s="13" t="inlineStr">
        <is>
          <t>4.2.5</t>
        </is>
      </c>
      <c r="C54" s="14" t="inlineStr">
        <is>
          <t>Implementar la selección de imágenes del dataset (RF-14.1)</t>
        </is>
      </c>
      <c r="D54" s="13" t="inlineStr">
        <is>
          <t>Actividad</t>
        </is>
      </c>
      <c r="E54" s="15" t="inlineStr">
        <is>
          <t>Emmanuel Ospina</t>
        </is>
      </c>
      <c r="F54" s="15" t="inlineStr">
        <is>
          <t>Emmanuel Ospina</t>
        </is>
      </c>
      <c r="G54" s="13" t="n">
        <v>8</v>
      </c>
      <c r="H54" s="13">
        <f>IF(D54="Hito",0,J54-I54+1)</f>
        <v/>
      </c>
      <c r="I54" s="16" t="n">
        <v>46313</v>
      </c>
      <c r="J54" s="16" t="n">
        <v>46315</v>
      </c>
      <c r="K54" s="14" t="inlineStr">
        <is>
          <t>3301</t>
        </is>
      </c>
      <c r="L54" s="13" t="inlineStr">
        <is>
          <t>Ciclo TSP 1</t>
        </is>
      </c>
      <c r="M54" s="13" t="inlineStr">
        <is>
          <t>Must</t>
        </is>
      </c>
      <c r="N54" s="19" t="n">
        <v>0</v>
      </c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2" t="n"/>
      <c r="Y54" s="12" t="n"/>
      <c r="Z54" s="12" t="n"/>
      <c r="AA54" s="12" t="n"/>
      <c r="AB54" s="12" t="n"/>
      <c r="AC54" s="12" t="n"/>
      <c r="AD54" s="12" t="n"/>
      <c r="AE54" s="12" t="n"/>
      <c r="AF54" s="12" t="n"/>
      <c r="AG54" s="12" t="n"/>
      <c r="AH54" s="12" t="n"/>
      <c r="AI54" s="12" t="n"/>
      <c r="AJ54" s="12" t="n"/>
      <c r="AK54" s="12" t="n"/>
      <c r="AL54" s="12" t="n"/>
      <c r="AM54" s="12" t="n"/>
      <c r="AN54" s="12" t="n"/>
      <c r="AO54" s="12" t="n"/>
      <c r="AP54" s="12" t="n"/>
      <c r="AQ54" s="12" t="n"/>
      <c r="AR54" s="12" t="n"/>
      <c r="AS54" s="12" t="n"/>
      <c r="AT54" s="12" t="n"/>
      <c r="AU54" s="12" t="n"/>
      <c r="AV54" s="12" t="n"/>
      <c r="AW54" s="12" t="n"/>
      <c r="AX54" s="12" t="n"/>
      <c r="AY54" s="12" t="n"/>
      <c r="AZ54" s="12" t="n"/>
      <c r="BA54" s="12" t="n"/>
      <c r="BB54" s="12" t="n"/>
      <c r="BC54" s="12" t="n"/>
      <c r="BD54" s="12" t="n"/>
      <c r="BE54" s="12" t="n"/>
      <c r="BF54" s="12" t="n"/>
      <c r="BG54" s="12" t="n"/>
      <c r="BH54" s="12" t="n"/>
      <c r="BI54" s="12" t="n"/>
      <c r="BJ54" s="12" t="n"/>
      <c r="BK54" s="12" t="n"/>
      <c r="BL54" s="12" t="n"/>
      <c r="BM54" s="12" t="n"/>
      <c r="BN54" s="12" t="n"/>
      <c r="BO54" s="12" t="n"/>
      <c r="BP54" s="12" t="n"/>
      <c r="BQ54" s="12" t="n"/>
      <c r="BR54" s="12" t="n"/>
      <c r="BS54" s="12" t="n"/>
      <c r="BT54" s="12" t="n"/>
    </row>
    <row r="55">
      <c r="A55" s="13" t="inlineStr">
        <is>
          <t>4206</t>
        </is>
      </c>
      <c r="B55" s="13" t="inlineStr">
        <is>
          <t>4.2.6</t>
        </is>
      </c>
      <c r="C55" s="14" t="inlineStr">
        <is>
          <t>Implementar la redacción de la historia clínica con IA (RF-14.2)</t>
        </is>
      </c>
      <c r="D55" s="13" t="inlineStr">
        <is>
          <t>Actividad</t>
        </is>
      </c>
      <c r="E55" s="15" t="inlineStr">
        <is>
          <t>Emmanuel Ospina</t>
        </is>
      </c>
      <c r="F55" s="15" t="inlineStr">
        <is>
          <t>Emmanuel Ospina</t>
        </is>
      </c>
      <c r="G55" s="13" t="n">
        <v>12</v>
      </c>
      <c r="H55" s="13">
        <f>IF(D55="Hito",0,J55-I55+1)</f>
        <v/>
      </c>
      <c r="I55" s="16" t="n">
        <v>46316</v>
      </c>
      <c r="J55" s="16" t="n">
        <v>46319</v>
      </c>
      <c r="K55" s="14" t="inlineStr">
        <is>
          <t>4205</t>
        </is>
      </c>
      <c r="L55" s="13" t="inlineStr">
        <is>
          <t>Ciclo TSP 1</t>
        </is>
      </c>
      <c r="M55" s="13" t="inlineStr">
        <is>
          <t>Must</t>
        </is>
      </c>
      <c r="N55" s="19" t="n">
        <v>0</v>
      </c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  <c r="AR55" s="12" t="n"/>
      <c r="AS55" s="12" t="n"/>
      <c r="AT55" s="12" t="n"/>
      <c r="AU55" s="12" t="n"/>
      <c r="AV55" s="12" t="n"/>
      <c r="AW55" s="12" t="n"/>
      <c r="AX55" s="12" t="n"/>
      <c r="AY55" s="12" t="n"/>
      <c r="AZ55" s="12" t="n"/>
      <c r="BA55" s="12" t="n"/>
      <c r="BB55" s="12" t="n"/>
      <c r="BC55" s="12" t="n"/>
      <c r="BD55" s="12" t="n"/>
      <c r="BE55" s="12" t="n"/>
      <c r="BF55" s="12" t="n"/>
      <c r="BG55" s="12" t="n"/>
      <c r="BH55" s="12" t="n"/>
      <c r="BI55" s="12" t="n"/>
      <c r="BJ55" s="12" t="n"/>
      <c r="BK55" s="12" t="n"/>
      <c r="BL55" s="12" t="n"/>
      <c r="BM55" s="12" t="n"/>
      <c r="BN55" s="12" t="n"/>
      <c r="BO55" s="12" t="n"/>
      <c r="BP55" s="12" t="n"/>
      <c r="BQ55" s="12" t="n"/>
      <c r="BR55" s="12" t="n"/>
      <c r="BS55" s="12" t="n"/>
      <c r="BT55" s="12" t="n"/>
    </row>
    <row r="56">
      <c r="A56" s="13" t="inlineStr">
        <is>
          <t>4201</t>
        </is>
      </c>
      <c r="B56" s="13" t="inlineStr">
        <is>
          <t>4.2.1</t>
        </is>
      </c>
      <c r="C56" s="14" t="inlineStr">
        <is>
          <t>Implementar la solicitud de caso nuevo (RF-02.1)</t>
        </is>
      </c>
      <c r="D56" s="13" t="inlineStr">
        <is>
          <t>Actividad</t>
        </is>
      </c>
      <c r="E56" s="15" t="inlineStr">
        <is>
          <t>Emmanuel Ospina</t>
        </is>
      </c>
      <c r="F56" s="15" t="inlineStr">
        <is>
          <t>Jahan Chará</t>
        </is>
      </c>
      <c r="G56" s="13" t="n">
        <v>6</v>
      </c>
      <c r="H56" s="13">
        <f>IF(D56="Hito",0,J56-I56+1)</f>
        <v/>
      </c>
      <c r="I56" s="16" t="n">
        <v>46318</v>
      </c>
      <c r="J56" s="16" t="n">
        <v>46319</v>
      </c>
      <c r="K56" s="14" t="inlineStr">
        <is>
          <t>3301, 3401</t>
        </is>
      </c>
      <c r="L56" s="13" t="inlineStr">
        <is>
          <t>Ciclo TSP 1</t>
        </is>
      </c>
      <c r="M56" s="13" t="inlineStr">
        <is>
          <t>Must</t>
        </is>
      </c>
      <c r="N56" s="19" t="n">
        <v>0</v>
      </c>
      <c r="O56" s="12" t="n"/>
      <c r="P56" s="12" t="n"/>
      <c r="Q56" s="12" t="n"/>
      <c r="R56" s="12" t="n"/>
      <c r="S56" s="12" t="n"/>
      <c r="T56" s="12" t="n"/>
      <c r="U56" s="12" t="n"/>
      <c r="V56" s="12" t="n"/>
      <c r="W56" s="12" t="n"/>
      <c r="X56" s="12" t="n"/>
      <c r="Y56" s="12" t="n"/>
      <c r="Z56" s="12" t="n"/>
      <c r="AA56" s="12" t="n"/>
      <c r="AB56" s="12" t="n"/>
      <c r="AC56" s="12" t="n"/>
      <c r="AD56" s="12" t="n"/>
      <c r="AE56" s="12" t="n"/>
      <c r="AF56" s="12" t="n"/>
      <c r="AG56" s="12" t="n"/>
      <c r="AH56" s="12" t="n"/>
      <c r="AI56" s="12" t="n"/>
      <c r="AJ56" s="12" t="n"/>
      <c r="AK56" s="12" t="n"/>
      <c r="AL56" s="12" t="n"/>
      <c r="AM56" s="12" t="n"/>
      <c r="AN56" s="12" t="n"/>
      <c r="AO56" s="12" t="n"/>
      <c r="AP56" s="12" t="n"/>
      <c r="AQ56" s="12" t="n"/>
      <c r="AR56" s="12" t="n"/>
      <c r="AS56" s="12" t="n"/>
      <c r="AT56" s="12" t="n"/>
      <c r="AU56" s="12" t="n"/>
      <c r="AV56" s="12" t="n"/>
      <c r="AW56" s="12" t="n"/>
      <c r="AX56" s="12" t="n"/>
      <c r="AY56" s="12" t="n"/>
      <c r="AZ56" s="12" t="n"/>
      <c r="BA56" s="12" t="n"/>
      <c r="BB56" s="12" t="n"/>
      <c r="BC56" s="12" t="n"/>
      <c r="BD56" s="12" t="n"/>
      <c r="BE56" s="12" t="n"/>
      <c r="BF56" s="12" t="n"/>
      <c r="BG56" s="12" t="n"/>
      <c r="BH56" s="12" t="n"/>
      <c r="BI56" s="12" t="n"/>
      <c r="BJ56" s="12" t="n"/>
      <c r="BK56" s="12" t="n"/>
      <c r="BL56" s="12" t="n"/>
      <c r="BM56" s="12" t="n"/>
      <c r="BN56" s="12" t="n"/>
      <c r="BO56" s="12" t="n"/>
      <c r="BP56" s="12" t="n"/>
      <c r="BQ56" s="12" t="n"/>
      <c r="BR56" s="12" t="n"/>
      <c r="BS56" s="12" t="n"/>
      <c r="BT56" s="12" t="n"/>
    </row>
    <row r="57">
      <c r="A57" s="13" t="inlineStr">
        <is>
          <t>4204</t>
        </is>
      </c>
      <c r="B57" s="13" t="inlineStr">
        <is>
          <t>4.2.4</t>
        </is>
      </c>
      <c r="C57" s="14" t="inlineStr">
        <is>
          <t>Implementar la presentación del caso clínico (RF-04)</t>
        </is>
      </c>
      <c r="D57" s="13" t="inlineStr">
        <is>
          <t>Actividad</t>
        </is>
      </c>
      <c r="E57" s="15" t="inlineStr">
        <is>
          <t>Emmanuel Ospina</t>
        </is>
      </c>
      <c r="F57" s="15" t="inlineStr">
        <is>
          <t>Jahan Chará</t>
        </is>
      </c>
      <c r="G57" s="13" t="n">
        <v>6</v>
      </c>
      <c r="H57" s="13">
        <f>IF(D57="Hito",0,J57-I57+1)</f>
        <v/>
      </c>
      <c r="I57" s="16" t="n">
        <v>46320</v>
      </c>
      <c r="J57" s="16" t="n">
        <v>46321</v>
      </c>
      <c r="K57" s="14" t="inlineStr">
        <is>
          <t>4201</t>
        </is>
      </c>
      <c r="L57" s="13" t="inlineStr">
        <is>
          <t>Ciclo TSP 2</t>
        </is>
      </c>
      <c r="M57" s="13" t="inlineStr">
        <is>
          <t>Must</t>
        </is>
      </c>
      <c r="N57" s="19" t="n">
        <v>0</v>
      </c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/>
      <c r="AN57" s="12" t="n"/>
      <c r="AO57" s="12" t="n"/>
      <c r="AP57" s="12" t="n"/>
      <c r="AQ57" s="12" t="n"/>
      <c r="AR57" s="12" t="n"/>
      <c r="AS57" s="12" t="n"/>
      <c r="AT57" s="12" t="n"/>
      <c r="AU57" s="12" t="n"/>
      <c r="AV57" s="12" t="n"/>
      <c r="AW57" s="12" t="n"/>
      <c r="AX57" s="12" t="n"/>
      <c r="AY57" s="12" t="n"/>
      <c r="AZ57" s="12" t="n"/>
      <c r="BA57" s="12" t="n"/>
      <c r="BB57" s="12" t="n"/>
      <c r="BC57" s="12" t="n"/>
      <c r="BD57" s="12" t="n"/>
      <c r="BE57" s="12" t="n"/>
      <c r="BF57" s="12" t="n"/>
      <c r="BG57" s="12" t="n"/>
      <c r="BH57" s="12" t="n"/>
      <c r="BI57" s="12" t="n"/>
      <c r="BJ57" s="12" t="n"/>
      <c r="BK57" s="12" t="n"/>
      <c r="BL57" s="12" t="n"/>
      <c r="BM57" s="12" t="n"/>
      <c r="BN57" s="12" t="n"/>
      <c r="BO57" s="12" t="n"/>
      <c r="BP57" s="12" t="n"/>
      <c r="BQ57" s="12" t="n"/>
      <c r="BR57" s="12" t="n"/>
      <c r="BS57" s="12" t="n"/>
      <c r="BT57" s="12" t="n"/>
    </row>
    <row r="58">
      <c r="A58" s="13" t="inlineStr">
        <is>
          <t>4207</t>
        </is>
      </c>
      <c r="B58" s="13" t="inlineStr">
        <is>
          <t>4.2.7</t>
        </is>
      </c>
      <c r="C58" s="14" t="inlineStr">
        <is>
          <t>Implementar la ubicación automática en la ruta 3D (RF-14.3)</t>
        </is>
      </c>
      <c r="D58" s="13" t="inlineStr">
        <is>
          <t>Actividad</t>
        </is>
      </c>
      <c r="E58" s="15" t="inlineStr">
        <is>
          <t>Emmanuel Ospina</t>
        </is>
      </c>
      <c r="F58" s="15" t="inlineStr">
        <is>
          <t>Emmanuel Ospina</t>
        </is>
      </c>
      <c r="G58" s="13" t="n">
        <v>6</v>
      </c>
      <c r="H58" s="13">
        <f>IF(D58="Hito",0,J58-I58+1)</f>
        <v/>
      </c>
      <c r="I58" s="16" t="n">
        <v>46320</v>
      </c>
      <c r="J58" s="16" t="n">
        <v>46321</v>
      </c>
      <c r="K58" s="14" t="inlineStr">
        <is>
          <t>4206</t>
        </is>
      </c>
      <c r="L58" s="13" t="inlineStr">
        <is>
          <t>Ciclo TSP 2</t>
        </is>
      </c>
      <c r="M58" s="13" t="inlineStr">
        <is>
          <t>Must</t>
        </is>
      </c>
      <c r="N58" s="19" t="n">
        <v>0</v>
      </c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2" t="n"/>
      <c r="Y58" s="12" t="n"/>
      <c r="Z58" s="12" t="n"/>
      <c r="AA58" s="12" t="n"/>
      <c r="AB58" s="12" t="n"/>
      <c r="AC58" s="12" t="n"/>
      <c r="AD58" s="12" t="n"/>
      <c r="AE58" s="12" t="n"/>
      <c r="AF58" s="12" t="n"/>
      <c r="AG58" s="12" t="n"/>
      <c r="AH58" s="12" t="n"/>
      <c r="AI58" s="12" t="n"/>
      <c r="AJ58" s="12" t="n"/>
      <c r="AK58" s="12" t="n"/>
      <c r="AL58" s="12" t="n"/>
      <c r="AM58" s="12" t="n"/>
      <c r="AN58" s="12" t="n"/>
      <c r="AO58" s="12" t="n"/>
      <c r="AP58" s="12" t="n"/>
      <c r="AQ58" s="12" t="n"/>
      <c r="AR58" s="12" t="n"/>
      <c r="AS58" s="12" t="n"/>
      <c r="AT58" s="12" t="n"/>
      <c r="AU58" s="12" t="n"/>
      <c r="AV58" s="12" t="n"/>
      <c r="AW58" s="12" t="n"/>
      <c r="AX58" s="12" t="n"/>
      <c r="AY58" s="12" t="n"/>
      <c r="AZ58" s="12" t="n"/>
      <c r="BA58" s="12" t="n"/>
      <c r="BB58" s="12" t="n"/>
      <c r="BC58" s="12" t="n"/>
      <c r="BD58" s="12" t="n"/>
      <c r="BE58" s="12" t="n"/>
      <c r="BF58" s="12" t="n"/>
      <c r="BG58" s="12" t="n"/>
      <c r="BH58" s="12" t="n"/>
      <c r="BI58" s="12" t="n"/>
      <c r="BJ58" s="12" t="n"/>
      <c r="BK58" s="12" t="n"/>
      <c r="BL58" s="12" t="n"/>
      <c r="BM58" s="12" t="n"/>
      <c r="BN58" s="12" t="n"/>
      <c r="BO58" s="12" t="n"/>
      <c r="BP58" s="12" t="n"/>
      <c r="BQ58" s="12" t="n"/>
      <c r="BR58" s="12" t="n"/>
      <c r="BS58" s="12" t="n"/>
      <c r="BT58" s="12" t="n"/>
    </row>
    <row r="59">
      <c r="A59" s="13" t="inlineStr">
        <is>
          <t>4208</t>
        </is>
      </c>
      <c r="B59" s="13" t="inlineStr">
        <is>
          <t>4.2.8</t>
        </is>
      </c>
      <c r="C59" s="14" t="inlineStr">
        <is>
          <t>Implementar la validación automática de casos (RF-14.4)</t>
        </is>
      </c>
      <c r="D59" s="13" t="inlineStr">
        <is>
          <t>Actividad</t>
        </is>
      </c>
      <c r="E59" s="15" t="inlineStr">
        <is>
          <t>Emmanuel Ospina</t>
        </is>
      </c>
      <c r="F59" s="15" t="inlineStr">
        <is>
          <t>Emmanuel Ospina</t>
        </is>
      </c>
      <c r="G59" s="13" t="n">
        <v>8</v>
      </c>
      <c r="H59" s="13">
        <f>IF(D59="Hito",0,J59-I59+1)</f>
        <v/>
      </c>
      <c r="I59" s="16" t="n">
        <v>46322</v>
      </c>
      <c r="J59" s="16" t="n">
        <v>46324</v>
      </c>
      <c r="K59" s="14" t="inlineStr">
        <is>
          <t>4207</t>
        </is>
      </c>
      <c r="L59" s="13" t="inlineStr">
        <is>
          <t>Ciclo TSP 2</t>
        </is>
      </c>
      <c r="M59" s="13" t="inlineStr">
        <is>
          <t>Must</t>
        </is>
      </c>
      <c r="N59" s="19" t="n">
        <v>0</v>
      </c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/>
      <c r="AN59" s="12" t="n"/>
      <c r="AO59" s="12" t="n"/>
      <c r="AP59" s="12" t="n"/>
      <c r="AQ59" s="12" t="n"/>
      <c r="AR59" s="12" t="n"/>
      <c r="AS59" s="12" t="n"/>
      <c r="AT59" s="12" t="n"/>
      <c r="AU59" s="12" t="n"/>
      <c r="AV59" s="12" t="n"/>
      <c r="AW59" s="12" t="n"/>
      <c r="AX59" s="12" t="n"/>
      <c r="AY59" s="12" t="n"/>
      <c r="AZ59" s="12" t="n"/>
      <c r="BA59" s="12" t="n"/>
      <c r="BB59" s="12" t="n"/>
      <c r="BC59" s="12" t="n"/>
      <c r="BD59" s="12" t="n"/>
      <c r="BE59" s="12" t="n"/>
      <c r="BF59" s="12" t="n"/>
      <c r="BG59" s="12" t="n"/>
      <c r="BH59" s="12" t="n"/>
      <c r="BI59" s="12" t="n"/>
      <c r="BJ59" s="12" t="n"/>
      <c r="BK59" s="12" t="n"/>
      <c r="BL59" s="12" t="n"/>
      <c r="BM59" s="12" t="n"/>
      <c r="BN59" s="12" t="n"/>
      <c r="BO59" s="12" t="n"/>
      <c r="BP59" s="12" t="n"/>
      <c r="BQ59" s="12" t="n"/>
      <c r="BR59" s="12" t="n"/>
      <c r="BS59" s="12" t="n"/>
      <c r="BT59" s="12" t="n"/>
    </row>
    <row r="60">
      <c r="A60" s="13" t="inlineStr">
        <is>
          <t>4209</t>
        </is>
      </c>
      <c r="B60" s="13" t="inlineStr">
        <is>
          <t>4.2.9</t>
        </is>
      </c>
      <c r="C60" s="14" t="inlineStr">
        <is>
          <t>Implementar el almacenamiento de casos (RF-14.5)</t>
        </is>
      </c>
      <c r="D60" s="13" t="inlineStr">
        <is>
          <t>Actividad</t>
        </is>
      </c>
      <c r="E60" s="15" t="inlineStr">
        <is>
          <t>Emmanuel Ospina</t>
        </is>
      </c>
      <c r="F60" s="15" t="inlineStr">
        <is>
          <t>Emmanuel Ospina</t>
        </is>
      </c>
      <c r="G60" s="13" t="n">
        <v>4</v>
      </c>
      <c r="H60" s="13">
        <f>IF(D60="Hito",0,J60-I60+1)</f>
        <v/>
      </c>
      <c r="I60" s="16" t="n">
        <v>46325</v>
      </c>
      <c r="J60" s="16" t="n">
        <v>46326</v>
      </c>
      <c r="K60" s="14" t="inlineStr">
        <is>
          <t>4208</t>
        </is>
      </c>
      <c r="L60" s="13" t="inlineStr">
        <is>
          <t>Ciclo TSP 2</t>
        </is>
      </c>
      <c r="M60" s="13" t="inlineStr">
        <is>
          <t>Must</t>
        </is>
      </c>
      <c r="N60" s="19" t="n">
        <v>0</v>
      </c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2" t="n"/>
      <c r="Y60" s="12" t="n"/>
      <c r="Z60" s="12" t="n"/>
      <c r="AA60" s="12" t="n"/>
      <c r="AB60" s="12" t="n"/>
      <c r="AC60" s="12" t="n"/>
      <c r="AD60" s="12" t="n"/>
      <c r="AE60" s="12" t="n"/>
      <c r="AF60" s="12" t="n"/>
      <c r="AG60" s="12" t="n"/>
      <c r="AH60" s="12" t="n"/>
      <c r="AI60" s="12" t="n"/>
      <c r="AJ60" s="12" t="n"/>
      <c r="AK60" s="12" t="n"/>
      <c r="AL60" s="12" t="n"/>
      <c r="AM60" s="12" t="n"/>
      <c r="AN60" s="12" t="n"/>
      <c r="AO60" s="12" t="n"/>
      <c r="AP60" s="12" t="n"/>
      <c r="AQ60" s="12" t="n"/>
      <c r="AR60" s="12" t="n"/>
      <c r="AS60" s="12" t="n"/>
      <c r="AT60" s="12" t="n"/>
      <c r="AU60" s="12" t="n"/>
      <c r="AV60" s="12" t="n"/>
      <c r="AW60" s="12" t="n"/>
      <c r="AX60" s="12" t="n"/>
      <c r="AY60" s="12" t="n"/>
      <c r="AZ60" s="12" t="n"/>
      <c r="BA60" s="12" t="n"/>
      <c r="BB60" s="12" t="n"/>
      <c r="BC60" s="12" t="n"/>
      <c r="BD60" s="12" t="n"/>
      <c r="BE60" s="12" t="n"/>
      <c r="BF60" s="12" t="n"/>
      <c r="BG60" s="12" t="n"/>
      <c r="BH60" s="12" t="n"/>
      <c r="BI60" s="12" t="n"/>
      <c r="BJ60" s="12" t="n"/>
      <c r="BK60" s="12" t="n"/>
      <c r="BL60" s="12" t="n"/>
      <c r="BM60" s="12" t="n"/>
      <c r="BN60" s="12" t="n"/>
      <c r="BO60" s="12" t="n"/>
      <c r="BP60" s="12" t="n"/>
      <c r="BQ60" s="12" t="n"/>
      <c r="BR60" s="12" t="n"/>
      <c r="BS60" s="12" t="n"/>
      <c r="BT60" s="12" t="n"/>
    </row>
    <row r="61">
      <c r="A61" s="13" t="inlineStr">
        <is>
          <t>4213</t>
        </is>
      </c>
      <c r="B61" s="13" t="inlineStr">
        <is>
          <t>4.2.13</t>
        </is>
      </c>
      <c r="C61" s="14" t="inlineStr">
        <is>
          <t>Verificar la calidad del contenido generado (RNF-13)</t>
        </is>
      </c>
      <c r="D61" s="13" t="inlineStr">
        <is>
          <t>Actividad</t>
        </is>
      </c>
      <c r="E61" s="15" t="inlineStr">
        <is>
          <t>Emmanuel Ospina</t>
        </is>
      </c>
      <c r="F61" s="15" t="inlineStr">
        <is>
          <t>Jahan Chará</t>
        </is>
      </c>
      <c r="G61" s="13" t="n">
        <v>6</v>
      </c>
      <c r="H61" s="13">
        <f>IF(D61="Hito",0,J61-I61+1)</f>
        <v/>
      </c>
      <c r="I61" s="16" t="n">
        <v>46325</v>
      </c>
      <c r="J61" s="16" t="n">
        <v>46326</v>
      </c>
      <c r="K61" s="14" t="inlineStr">
        <is>
          <t>4208</t>
        </is>
      </c>
      <c r="L61" s="13" t="inlineStr">
        <is>
          <t>Ciclo TSP 2</t>
        </is>
      </c>
      <c r="M61" s="13" t="inlineStr">
        <is>
          <t>Must</t>
        </is>
      </c>
      <c r="N61" s="19" t="n">
        <v>0</v>
      </c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/>
      <c r="AN61" s="12" t="n"/>
      <c r="AO61" s="12" t="n"/>
      <c r="AP61" s="12" t="n"/>
      <c r="AQ61" s="12" t="n"/>
      <c r="AR61" s="12" t="n"/>
      <c r="AS61" s="12" t="n"/>
      <c r="AT61" s="12" t="n"/>
      <c r="AU61" s="12" t="n"/>
      <c r="AV61" s="12" t="n"/>
      <c r="AW61" s="12" t="n"/>
      <c r="AX61" s="12" t="n"/>
      <c r="AY61" s="12" t="n"/>
      <c r="AZ61" s="12" t="n"/>
      <c r="BA61" s="12" t="n"/>
      <c r="BB61" s="12" t="n"/>
      <c r="BC61" s="12" t="n"/>
      <c r="BD61" s="12" t="n"/>
      <c r="BE61" s="12" t="n"/>
      <c r="BF61" s="12" t="n"/>
      <c r="BG61" s="12" t="n"/>
      <c r="BH61" s="12" t="n"/>
      <c r="BI61" s="12" t="n"/>
      <c r="BJ61" s="12" t="n"/>
      <c r="BK61" s="12" t="n"/>
      <c r="BL61" s="12" t="n"/>
      <c r="BM61" s="12" t="n"/>
      <c r="BN61" s="12" t="n"/>
      <c r="BO61" s="12" t="n"/>
      <c r="BP61" s="12" t="n"/>
      <c r="BQ61" s="12" t="n"/>
      <c r="BR61" s="12" t="n"/>
      <c r="BS61" s="12" t="n"/>
      <c r="BT61" s="12" t="n"/>
    </row>
    <row r="62">
      <c r="A62" s="13" t="inlineStr">
        <is>
          <t>4214</t>
        </is>
      </c>
      <c r="B62" s="13" t="inlineStr">
        <is>
          <t>4.2.14</t>
        </is>
      </c>
      <c r="C62" s="14" t="inlineStr">
        <is>
          <t>Optimizar el tiempo de generación de casos (RNF-14)</t>
        </is>
      </c>
      <c r="D62" s="13" t="inlineStr">
        <is>
          <t>Actividad</t>
        </is>
      </c>
      <c r="E62" s="15" t="inlineStr">
        <is>
          <t>Emmanuel Ospina</t>
        </is>
      </c>
      <c r="F62" s="15" t="inlineStr">
        <is>
          <t>Emmanuel Ospina</t>
        </is>
      </c>
      <c r="G62" s="13" t="n">
        <v>4</v>
      </c>
      <c r="H62" s="13">
        <f>IF(D62="Hito",0,J62-I62+1)</f>
        <v/>
      </c>
      <c r="I62" s="16" t="n">
        <v>46327</v>
      </c>
      <c r="J62" s="16" t="n">
        <v>46328</v>
      </c>
      <c r="K62" s="14" t="inlineStr">
        <is>
          <t>4209</t>
        </is>
      </c>
      <c r="L62" s="13" t="inlineStr">
        <is>
          <t>Ciclo TSP 2</t>
        </is>
      </c>
      <c r="M62" s="13" t="inlineStr">
        <is>
          <t>Must</t>
        </is>
      </c>
      <c r="N62" s="19" t="n">
        <v>0</v>
      </c>
      <c r="O62" s="12" t="n"/>
      <c r="P62" s="12" t="n"/>
      <c r="Q62" s="12" t="n"/>
      <c r="R62" s="12" t="n"/>
      <c r="S62" s="12" t="n"/>
      <c r="T62" s="12" t="n"/>
      <c r="U62" s="12" t="n"/>
      <c r="V62" s="12" t="n"/>
      <c r="W62" s="12" t="n"/>
      <c r="X62" s="12" t="n"/>
      <c r="Y62" s="12" t="n"/>
      <c r="Z62" s="12" t="n"/>
      <c r="AA62" s="12" t="n"/>
      <c r="AB62" s="12" t="n"/>
      <c r="AC62" s="12" t="n"/>
      <c r="AD62" s="12" t="n"/>
      <c r="AE62" s="12" t="n"/>
      <c r="AF62" s="12" t="n"/>
      <c r="AG62" s="12" t="n"/>
      <c r="AH62" s="12" t="n"/>
      <c r="AI62" s="12" t="n"/>
      <c r="AJ62" s="12" t="n"/>
      <c r="AK62" s="12" t="n"/>
      <c r="AL62" s="12" t="n"/>
      <c r="AM62" s="12" t="n"/>
      <c r="AN62" s="12" t="n"/>
      <c r="AO62" s="12" t="n"/>
      <c r="AP62" s="12" t="n"/>
      <c r="AQ62" s="12" t="n"/>
      <c r="AR62" s="12" t="n"/>
      <c r="AS62" s="12" t="n"/>
      <c r="AT62" s="12" t="n"/>
      <c r="AU62" s="12" t="n"/>
      <c r="AV62" s="12" t="n"/>
      <c r="AW62" s="12" t="n"/>
      <c r="AX62" s="12" t="n"/>
      <c r="AY62" s="12" t="n"/>
      <c r="AZ62" s="12" t="n"/>
      <c r="BA62" s="12" t="n"/>
      <c r="BB62" s="12" t="n"/>
      <c r="BC62" s="12" t="n"/>
      <c r="BD62" s="12" t="n"/>
      <c r="BE62" s="12" t="n"/>
      <c r="BF62" s="12" t="n"/>
      <c r="BG62" s="12" t="n"/>
      <c r="BH62" s="12" t="n"/>
      <c r="BI62" s="12" t="n"/>
      <c r="BJ62" s="12" t="n"/>
      <c r="BK62" s="12" t="n"/>
      <c r="BL62" s="12" t="n"/>
      <c r="BM62" s="12" t="n"/>
      <c r="BN62" s="12" t="n"/>
      <c r="BO62" s="12" t="n"/>
      <c r="BP62" s="12" t="n"/>
      <c r="BQ62" s="12" t="n"/>
      <c r="BR62" s="12" t="n"/>
      <c r="BS62" s="12" t="n"/>
      <c r="BT62" s="12" t="n"/>
    </row>
    <row r="63">
      <c r="A63" s="13" t="inlineStr">
        <is>
          <t>4210</t>
        </is>
      </c>
      <c r="B63" s="13" t="inlineStr">
        <is>
          <t>4.2.10</t>
        </is>
      </c>
      <c r="C63" s="14" t="inlineStr">
        <is>
          <t>Implementar la revisión docente de casos (RF-14.6)</t>
        </is>
      </c>
      <c r="D63" s="13" t="inlineStr">
        <is>
          <t>Actividad</t>
        </is>
      </c>
      <c r="E63" s="15" t="inlineStr">
        <is>
          <t>Emmanuel Ospina</t>
        </is>
      </c>
      <c r="F63" s="15" t="inlineStr">
        <is>
          <t>Diego Agudelo</t>
        </is>
      </c>
      <c r="G63" s="13" t="n">
        <v>8</v>
      </c>
      <c r="H63" s="13">
        <f>IF(D63="Hito",0,J63-I63+1)</f>
        <v/>
      </c>
      <c r="I63" s="16" t="n">
        <v>46328</v>
      </c>
      <c r="J63" s="16" t="n">
        <v>46330</v>
      </c>
      <c r="K63" s="14" t="inlineStr">
        <is>
          <t>4209</t>
        </is>
      </c>
      <c r="L63" s="13" t="inlineStr">
        <is>
          <t>Ciclo TSP 2</t>
        </is>
      </c>
      <c r="M63" s="13" t="inlineStr">
        <is>
          <t>Must</t>
        </is>
      </c>
      <c r="N63" s="19" t="n">
        <v>0</v>
      </c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/>
      <c r="AN63" s="12" t="n"/>
      <c r="AO63" s="12" t="n"/>
      <c r="AP63" s="12" t="n"/>
      <c r="AQ63" s="12" t="n"/>
      <c r="AR63" s="12" t="n"/>
      <c r="AS63" s="12" t="n"/>
      <c r="AT63" s="12" t="n"/>
      <c r="AU63" s="12" t="n"/>
      <c r="AV63" s="12" t="n"/>
      <c r="AW63" s="12" t="n"/>
      <c r="AX63" s="12" t="n"/>
      <c r="AY63" s="12" t="n"/>
      <c r="AZ63" s="12" t="n"/>
      <c r="BA63" s="12" t="n"/>
      <c r="BB63" s="12" t="n"/>
      <c r="BC63" s="12" t="n"/>
      <c r="BD63" s="12" t="n"/>
      <c r="BE63" s="12" t="n"/>
      <c r="BF63" s="12" t="n"/>
      <c r="BG63" s="12" t="n"/>
      <c r="BH63" s="12" t="n"/>
      <c r="BI63" s="12" t="n"/>
      <c r="BJ63" s="12" t="n"/>
      <c r="BK63" s="12" t="n"/>
      <c r="BL63" s="12" t="n"/>
      <c r="BM63" s="12" t="n"/>
      <c r="BN63" s="12" t="n"/>
      <c r="BO63" s="12" t="n"/>
      <c r="BP63" s="12" t="n"/>
      <c r="BQ63" s="12" t="n"/>
      <c r="BR63" s="12" t="n"/>
      <c r="BS63" s="12" t="n"/>
      <c r="BT63" s="12" t="n"/>
    </row>
    <row r="64">
      <c r="A64" s="13" t="inlineStr">
        <is>
          <t>4203</t>
        </is>
      </c>
      <c r="B64" s="13" t="inlineStr">
        <is>
          <t>4.2.3</t>
        </is>
      </c>
      <c r="C64" s="14" t="inlineStr">
        <is>
          <t>Implementar el historial y la repetición de casos (RF-02.3)</t>
        </is>
      </c>
      <c r="D64" s="13" t="inlineStr">
        <is>
          <t>Actividad</t>
        </is>
      </c>
      <c r="E64" s="15" t="inlineStr">
        <is>
          <t>Emmanuel Ospina</t>
        </is>
      </c>
      <c r="F64" s="15" t="inlineStr">
        <is>
          <t>Diego Agudelo</t>
        </is>
      </c>
      <c r="G64" s="13" t="n">
        <v>5</v>
      </c>
      <c r="H64" s="13">
        <f>IF(D64="Hito",0,J64-I64+1)</f>
        <v/>
      </c>
      <c r="I64" s="16" t="n">
        <v>46335</v>
      </c>
      <c r="J64" s="16" t="n">
        <v>46336</v>
      </c>
      <c r="K64" s="14" t="inlineStr">
        <is>
          <t>4209</t>
        </is>
      </c>
      <c r="L64" s="13" t="inlineStr">
        <is>
          <t>Ciclo TSP 2</t>
        </is>
      </c>
      <c r="M64" s="13" t="inlineStr">
        <is>
          <t>Should</t>
        </is>
      </c>
      <c r="N64" s="19" t="n">
        <v>0</v>
      </c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 t="n"/>
      <c r="Y64" s="12" t="n"/>
      <c r="Z64" s="12" t="n"/>
      <c r="AA64" s="12" t="n"/>
      <c r="AB64" s="12" t="n"/>
      <c r="AC64" s="12" t="n"/>
      <c r="AD64" s="12" t="n"/>
      <c r="AE64" s="12" t="n"/>
      <c r="AF64" s="12" t="n"/>
      <c r="AG64" s="12" t="n"/>
      <c r="AH64" s="12" t="n"/>
      <c r="AI64" s="12" t="n"/>
      <c r="AJ64" s="12" t="n"/>
      <c r="AK64" s="12" t="n"/>
      <c r="AL64" s="12" t="n"/>
      <c r="AM64" s="12" t="n"/>
      <c r="AN64" s="12" t="n"/>
      <c r="AO64" s="12" t="n"/>
      <c r="AP64" s="12" t="n"/>
      <c r="AQ64" s="12" t="n"/>
      <c r="AR64" s="12" t="n"/>
      <c r="AS64" s="12" t="n"/>
      <c r="AT64" s="12" t="n"/>
      <c r="AU64" s="12" t="n"/>
      <c r="AV64" s="12" t="n"/>
      <c r="AW64" s="12" t="n"/>
      <c r="AX64" s="12" t="n"/>
      <c r="AY64" s="12" t="n"/>
      <c r="AZ64" s="12" t="n"/>
      <c r="BA64" s="12" t="n"/>
      <c r="BB64" s="12" t="n"/>
      <c r="BC64" s="12" t="n"/>
      <c r="BD64" s="12" t="n"/>
      <c r="BE64" s="12" t="n"/>
      <c r="BF64" s="12" t="n"/>
      <c r="BG64" s="12" t="n"/>
      <c r="BH64" s="12" t="n"/>
      <c r="BI64" s="12" t="n"/>
      <c r="BJ64" s="12" t="n"/>
      <c r="BK64" s="12" t="n"/>
      <c r="BL64" s="12" t="n"/>
      <c r="BM64" s="12" t="n"/>
      <c r="BN64" s="12" t="n"/>
      <c r="BO64" s="12" t="n"/>
      <c r="BP64" s="12" t="n"/>
      <c r="BQ64" s="12" t="n"/>
      <c r="BR64" s="12" t="n"/>
      <c r="BS64" s="12" t="n"/>
      <c r="BT64" s="12" t="n"/>
    </row>
    <row r="65">
      <c r="A65" s="13" t="inlineStr">
        <is>
          <t>4212</t>
        </is>
      </c>
      <c r="B65" s="13" t="inlineStr">
        <is>
          <t>4.2.12</t>
        </is>
      </c>
      <c r="C65" s="14" t="inlineStr">
        <is>
          <t>Auditar la privacidad de los datos (RNF-08)</t>
        </is>
      </c>
      <c r="D65" s="13" t="inlineStr">
        <is>
          <t>Actividad</t>
        </is>
      </c>
      <c r="E65" s="15" t="inlineStr">
        <is>
          <t>Emmanuel Ospina</t>
        </is>
      </c>
      <c r="F65" s="15" t="inlineStr">
        <is>
          <t>Emmanuel Ospina</t>
        </is>
      </c>
      <c r="G65" s="13" t="n">
        <v>4</v>
      </c>
      <c r="H65" s="13">
        <f>IF(D65="Hito",0,J65-I65+1)</f>
        <v/>
      </c>
      <c r="I65" s="16" t="n">
        <v>46338</v>
      </c>
      <c r="J65" s="16" t="n">
        <v>46339</v>
      </c>
      <c r="K65" s="14" t="inlineStr">
        <is>
          <t>4505</t>
        </is>
      </c>
      <c r="L65" s="13" t="inlineStr">
        <is>
          <t>Ciclo TSP 2</t>
        </is>
      </c>
      <c r="M65" s="13" t="inlineStr">
        <is>
          <t>Must</t>
        </is>
      </c>
      <c r="N65" s="19" t="n">
        <v>0</v>
      </c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/>
      <c r="AQ65" s="12" t="n"/>
      <c r="AR65" s="12" t="n"/>
      <c r="AS65" s="12" t="n"/>
      <c r="AT65" s="12" t="n"/>
      <c r="AU65" s="12" t="n"/>
      <c r="AV65" s="12" t="n"/>
      <c r="AW65" s="12" t="n"/>
      <c r="AX65" s="12" t="n"/>
      <c r="AY65" s="12" t="n"/>
      <c r="AZ65" s="12" t="n"/>
      <c r="BA65" s="12" t="n"/>
      <c r="BB65" s="12" t="n"/>
      <c r="BC65" s="12" t="n"/>
      <c r="BD65" s="12" t="n"/>
      <c r="BE65" s="12" t="n"/>
      <c r="BF65" s="12" t="n"/>
      <c r="BG65" s="12" t="n"/>
      <c r="BH65" s="12" t="n"/>
      <c r="BI65" s="12" t="n"/>
      <c r="BJ65" s="12" t="n"/>
      <c r="BK65" s="12" t="n"/>
      <c r="BL65" s="12" t="n"/>
      <c r="BM65" s="12" t="n"/>
      <c r="BN65" s="12" t="n"/>
      <c r="BO65" s="12" t="n"/>
      <c r="BP65" s="12" t="n"/>
      <c r="BQ65" s="12" t="n"/>
      <c r="BR65" s="12" t="n"/>
      <c r="BS65" s="12" t="n"/>
      <c r="BT65" s="12" t="n"/>
    </row>
    <row r="66">
      <c r="A66" s="13" t="inlineStr">
        <is>
          <t>4202</t>
        </is>
      </c>
      <c r="B66" s="13" t="inlineStr">
        <is>
          <t>4.2.2</t>
        </is>
      </c>
      <c r="C66" s="14" t="inlineStr">
        <is>
          <t>Implementar la elección de región anatómica (RF-02.2)</t>
        </is>
      </c>
      <c r="D66" s="13" t="inlineStr">
        <is>
          <t>Actividad</t>
        </is>
      </c>
      <c r="E66" s="15" t="inlineStr">
        <is>
          <t>Emmanuel Ospina</t>
        </is>
      </c>
      <c r="F66" s="15" t="inlineStr">
        <is>
          <t>Emmanuel Ospina</t>
        </is>
      </c>
      <c r="G66" s="13" t="n">
        <v>4</v>
      </c>
      <c r="H66" s="13">
        <f>IF(D66="Hito",0,J66-I66+1)</f>
        <v/>
      </c>
      <c r="I66" s="16" t="n">
        <v>46340</v>
      </c>
      <c r="J66" s="16" t="n">
        <v>46341</v>
      </c>
      <c r="K66" s="14" t="inlineStr">
        <is>
          <t>4207</t>
        </is>
      </c>
      <c r="L66" s="13" t="inlineStr">
        <is>
          <t>Ciclo TSP 2</t>
        </is>
      </c>
      <c r="M66" s="13" t="inlineStr">
        <is>
          <t>Should</t>
        </is>
      </c>
      <c r="N66" s="19" t="n">
        <v>0</v>
      </c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2" t="n"/>
      <c r="Y66" s="12" t="n"/>
      <c r="Z66" s="12" t="n"/>
      <c r="AA66" s="12" t="n"/>
      <c r="AB66" s="12" t="n"/>
      <c r="AC66" s="12" t="n"/>
      <c r="AD66" s="12" t="n"/>
      <c r="AE66" s="12" t="n"/>
      <c r="AF66" s="12" t="n"/>
      <c r="AG66" s="12" t="n"/>
      <c r="AH66" s="12" t="n"/>
      <c r="AI66" s="12" t="n"/>
      <c r="AJ66" s="12" t="n"/>
      <c r="AK66" s="12" t="n"/>
      <c r="AL66" s="12" t="n"/>
      <c r="AM66" s="12" t="n"/>
      <c r="AN66" s="12" t="n"/>
      <c r="AO66" s="12" t="n"/>
      <c r="AP66" s="12" t="n"/>
      <c r="AQ66" s="12" t="n"/>
      <c r="AR66" s="12" t="n"/>
      <c r="AS66" s="12" t="n"/>
      <c r="AT66" s="12" t="n"/>
      <c r="AU66" s="12" t="n"/>
      <c r="AV66" s="12" t="n"/>
      <c r="AW66" s="12" t="n"/>
      <c r="AX66" s="12" t="n"/>
      <c r="AY66" s="12" t="n"/>
      <c r="AZ66" s="12" t="n"/>
      <c r="BA66" s="12" t="n"/>
      <c r="BB66" s="12" t="n"/>
      <c r="BC66" s="12" t="n"/>
      <c r="BD66" s="12" t="n"/>
      <c r="BE66" s="12" t="n"/>
      <c r="BF66" s="12" t="n"/>
      <c r="BG66" s="12" t="n"/>
      <c r="BH66" s="12" t="n"/>
      <c r="BI66" s="12" t="n"/>
      <c r="BJ66" s="12" t="n"/>
      <c r="BK66" s="12" t="n"/>
      <c r="BL66" s="12" t="n"/>
      <c r="BM66" s="12" t="n"/>
      <c r="BN66" s="12" t="n"/>
      <c r="BO66" s="12" t="n"/>
      <c r="BP66" s="12" t="n"/>
      <c r="BQ66" s="12" t="n"/>
      <c r="BR66" s="12" t="n"/>
      <c r="BS66" s="12" t="n"/>
      <c r="BT66" s="12" t="n"/>
    </row>
    <row r="67">
      <c r="A67" s="7" t="inlineStr"/>
      <c r="B67" s="7" t="inlineStr"/>
      <c r="C67" s="8" t="inlineStr">
        <is>
          <t>CONSTRUCCIÓN – 4.3 COMPONENTE DE IA DE VISIÓN</t>
        </is>
      </c>
      <c r="D67" s="7" t="inlineStr">
        <is>
          <t>Fase</t>
        </is>
      </c>
      <c r="E67" s="9" t="inlineStr"/>
      <c r="F67" s="9" t="inlineStr"/>
      <c r="G67" s="7">
        <f>SUM(G68:G70)</f>
        <v/>
      </c>
      <c r="H67" s="7">
        <f>IF(D67="Hito",0,J67-I67+1)</f>
        <v/>
      </c>
      <c r="I67" s="10">
        <f>MIN(I68:I70)</f>
        <v/>
      </c>
      <c r="J67" s="10">
        <f>MAX(J68:J70)</f>
        <v/>
      </c>
      <c r="K67" s="8" t="inlineStr"/>
      <c r="L67" s="7" t="inlineStr"/>
      <c r="M67" s="7" t="inlineStr"/>
      <c r="N67" s="11">
        <f>IFERROR(SUMPRODUCT(G68:G70,N68:N70)/SUM(G68:G70),0)</f>
        <v/>
      </c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/>
      <c r="AQ67" s="12" t="n"/>
      <c r="AR67" s="12" t="n"/>
      <c r="AS67" s="12" t="n"/>
      <c r="AT67" s="12" t="n"/>
      <c r="AU67" s="12" t="n"/>
      <c r="AV67" s="12" t="n"/>
      <c r="AW67" s="12" t="n"/>
      <c r="AX67" s="12" t="n"/>
      <c r="AY67" s="12" t="n"/>
      <c r="AZ67" s="12" t="n"/>
      <c r="BA67" s="12" t="n"/>
      <c r="BB67" s="12" t="n"/>
      <c r="BC67" s="12" t="n"/>
      <c r="BD67" s="12" t="n"/>
      <c r="BE67" s="12" t="n"/>
      <c r="BF67" s="12" t="n"/>
      <c r="BG67" s="12" t="n"/>
      <c r="BH67" s="12" t="n"/>
      <c r="BI67" s="12" t="n"/>
      <c r="BJ67" s="12" t="n"/>
      <c r="BK67" s="12" t="n"/>
      <c r="BL67" s="12" t="n"/>
      <c r="BM67" s="12" t="n"/>
      <c r="BN67" s="12" t="n"/>
      <c r="BO67" s="12" t="n"/>
      <c r="BP67" s="12" t="n"/>
      <c r="BQ67" s="12" t="n"/>
      <c r="BR67" s="12" t="n"/>
      <c r="BS67" s="12" t="n"/>
      <c r="BT67" s="12" t="n"/>
    </row>
    <row r="68">
      <c r="A68" s="13" t="inlineStr">
        <is>
          <t>4304</t>
        </is>
      </c>
      <c r="B68" s="13" t="inlineStr">
        <is>
          <t>4.3.4</t>
        </is>
      </c>
      <c r="C68" s="14" t="inlineStr">
        <is>
          <t>Entrenar y documentar el modelo de IA de visión (RNF-12)</t>
        </is>
      </c>
      <c r="D68" s="13" t="inlineStr">
        <is>
          <t>Actividad</t>
        </is>
      </c>
      <c r="E68" s="15" t="inlineStr">
        <is>
          <t>Diego Agudelo</t>
        </is>
      </c>
      <c r="F68" s="15" t="inlineStr">
        <is>
          <t>Jahan Chará</t>
        </is>
      </c>
      <c r="G68" s="13" t="n">
        <v>20</v>
      </c>
      <c r="H68" s="13">
        <f>IF(D68="Hito",0,J68-I68+1)</f>
        <v/>
      </c>
      <c r="I68" s="16" t="n">
        <v>46311</v>
      </c>
      <c r="J68" s="16" t="n">
        <v>46317</v>
      </c>
      <c r="K68" s="14" t="inlineStr">
        <is>
          <t>3101</t>
        </is>
      </c>
      <c r="L68" s="13" t="inlineStr">
        <is>
          <t>Ciclo TSP 1</t>
        </is>
      </c>
      <c r="M68" s="13" t="inlineStr">
        <is>
          <t>Must</t>
        </is>
      </c>
      <c r="N68" s="19" t="n">
        <v>0</v>
      </c>
      <c r="O68" s="12" t="n"/>
      <c r="P68" s="12" t="n"/>
      <c r="Q68" s="12" t="n"/>
      <c r="R68" s="12" t="n"/>
      <c r="S68" s="12" t="n"/>
      <c r="T68" s="12" t="n"/>
      <c r="U68" s="12" t="n"/>
      <c r="V68" s="12" t="n"/>
      <c r="W68" s="12" t="n"/>
      <c r="X68" s="12" t="n"/>
      <c r="Y68" s="12" t="n"/>
      <c r="Z68" s="12" t="n"/>
      <c r="AA68" s="12" t="n"/>
      <c r="AB68" s="12" t="n"/>
      <c r="AC68" s="12" t="n"/>
      <c r="AD68" s="12" t="n"/>
      <c r="AE68" s="12" t="n"/>
      <c r="AF68" s="12" t="n"/>
      <c r="AG68" s="12" t="n"/>
      <c r="AH68" s="12" t="n"/>
      <c r="AI68" s="12" t="n"/>
      <c r="AJ68" s="12" t="n"/>
      <c r="AK68" s="12" t="n"/>
      <c r="AL68" s="12" t="n"/>
      <c r="AM68" s="12" t="n"/>
      <c r="AN68" s="12" t="n"/>
      <c r="AO68" s="12" t="n"/>
      <c r="AP68" s="12" t="n"/>
      <c r="AQ68" s="12" t="n"/>
      <c r="AR68" s="12" t="n"/>
      <c r="AS68" s="12" t="n"/>
      <c r="AT68" s="12" t="n"/>
      <c r="AU68" s="12" t="n"/>
      <c r="AV68" s="12" t="n"/>
      <c r="AW68" s="12" t="n"/>
      <c r="AX68" s="12" t="n"/>
      <c r="AY68" s="12" t="n"/>
      <c r="AZ68" s="12" t="n"/>
      <c r="BA68" s="12" t="n"/>
      <c r="BB68" s="12" t="n"/>
      <c r="BC68" s="12" t="n"/>
      <c r="BD68" s="12" t="n"/>
      <c r="BE68" s="12" t="n"/>
      <c r="BF68" s="12" t="n"/>
      <c r="BG68" s="12" t="n"/>
      <c r="BH68" s="12" t="n"/>
      <c r="BI68" s="12" t="n"/>
      <c r="BJ68" s="12" t="n"/>
      <c r="BK68" s="12" t="n"/>
      <c r="BL68" s="12" t="n"/>
      <c r="BM68" s="12" t="n"/>
      <c r="BN68" s="12" t="n"/>
      <c r="BO68" s="12" t="n"/>
      <c r="BP68" s="12" t="n"/>
      <c r="BQ68" s="12" t="n"/>
      <c r="BR68" s="12" t="n"/>
      <c r="BS68" s="12" t="n"/>
      <c r="BT68" s="12" t="n"/>
    </row>
    <row r="69">
      <c r="A69" s="13" t="inlineStr">
        <is>
          <t>4301</t>
        </is>
      </c>
      <c r="B69" s="13" t="inlineStr">
        <is>
          <t>4.3.1</t>
        </is>
      </c>
      <c r="C69" s="14" t="inlineStr">
        <is>
          <t>Mostrar la clase y la confianza de la IA (RF-06.1)</t>
        </is>
      </c>
      <c r="D69" s="13" t="inlineStr">
        <is>
          <t>Actividad</t>
        </is>
      </c>
      <c r="E69" s="15" t="inlineStr">
        <is>
          <t>Diego Agudelo</t>
        </is>
      </c>
      <c r="F69" s="15" t="inlineStr">
        <is>
          <t>Diego Agudelo</t>
        </is>
      </c>
      <c r="G69" s="13" t="n">
        <v>6</v>
      </c>
      <c r="H69" s="13">
        <f>IF(D69="Hito",0,J69-I69+1)</f>
        <v/>
      </c>
      <c r="I69" s="16" t="n">
        <v>46324</v>
      </c>
      <c r="J69" s="16" t="n">
        <v>46325</v>
      </c>
      <c r="K69" s="14" t="inlineStr">
        <is>
          <t>4304, 4501</t>
        </is>
      </c>
      <c r="L69" s="13" t="inlineStr">
        <is>
          <t>Ciclo TSP 2</t>
        </is>
      </c>
      <c r="M69" s="13" t="inlineStr">
        <is>
          <t>Must</t>
        </is>
      </c>
      <c r="N69" s="19" t="n">
        <v>0</v>
      </c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/>
      <c r="AQ69" s="12" t="n"/>
      <c r="AR69" s="12" t="n"/>
      <c r="AS69" s="12" t="n"/>
      <c r="AT69" s="12" t="n"/>
      <c r="AU69" s="12" t="n"/>
      <c r="AV69" s="12" t="n"/>
      <c r="AW69" s="12" t="n"/>
      <c r="AX69" s="12" t="n"/>
      <c r="AY69" s="12" t="n"/>
      <c r="AZ69" s="12" t="n"/>
      <c r="BA69" s="12" t="n"/>
      <c r="BB69" s="12" t="n"/>
      <c r="BC69" s="12" t="n"/>
      <c r="BD69" s="12" t="n"/>
      <c r="BE69" s="12" t="n"/>
      <c r="BF69" s="12" t="n"/>
      <c r="BG69" s="12" t="n"/>
      <c r="BH69" s="12" t="n"/>
      <c r="BI69" s="12" t="n"/>
      <c r="BJ69" s="12" t="n"/>
      <c r="BK69" s="12" t="n"/>
      <c r="BL69" s="12" t="n"/>
      <c r="BM69" s="12" t="n"/>
      <c r="BN69" s="12" t="n"/>
      <c r="BO69" s="12" t="n"/>
      <c r="BP69" s="12" t="n"/>
      <c r="BQ69" s="12" t="n"/>
      <c r="BR69" s="12" t="n"/>
      <c r="BS69" s="12" t="n"/>
      <c r="BT69" s="12" t="n"/>
    </row>
    <row r="70">
      <c r="A70" s="13" t="inlineStr">
        <is>
          <t>4302</t>
        </is>
      </c>
      <c r="B70" s="13" t="inlineStr">
        <is>
          <t>4.3.2</t>
        </is>
      </c>
      <c r="C70" s="14" t="inlineStr">
        <is>
          <t>Mostrar la región de interés (ROI) (RF-06.2)</t>
        </is>
      </c>
      <c r="D70" s="13" t="inlineStr">
        <is>
          <t>Actividad</t>
        </is>
      </c>
      <c r="E70" s="15" t="inlineStr">
        <is>
          <t>Diego Agudelo</t>
        </is>
      </c>
      <c r="F70" s="15" t="inlineStr">
        <is>
          <t>Diego Agudelo</t>
        </is>
      </c>
      <c r="G70" s="13" t="n">
        <v>6</v>
      </c>
      <c r="H70" s="13">
        <f>IF(D70="Hito",0,J70-I70+1)</f>
        <v/>
      </c>
      <c r="I70" s="16" t="n">
        <v>46326</v>
      </c>
      <c r="J70" s="16" t="n">
        <v>46327</v>
      </c>
      <c r="K70" s="14" t="inlineStr">
        <is>
          <t>4301</t>
        </is>
      </c>
      <c r="L70" s="13" t="inlineStr">
        <is>
          <t>Ciclo TSP 2</t>
        </is>
      </c>
      <c r="M70" s="13" t="inlineStr">
        <is>
          <t>Must</t>
        </is>
      </c>
      <c r="N70" s="19" t="n">
        <v>0</v>
      </c>
      <c r="O70" s="12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 t="n"/>
      <c r="Y70" s="12" t="n"/>
      <c r="Z70" s="12" t="n"/>
      <c r="AA70" s="12" t="n"/>
      <c r="AB70" s="12" t="n"/>
      <c r="AC70" s="12" t="n"/>
      <c r="AD70" s="12" t="n"/>
      <c r="AE70" s="12" t="n"/>
      <c r="AF70" s="12" t="n"/>
      <c r="AG70" s="12" t="n"/>
      <c r="AH70" s="12" t="n"/>
      <c r="AI70" s="12" t="n"/>
      <c r="AJ70" s="12" t="n"/>
      <c r="AK70" s="12" t="n"/>
      <c r="AL70" s="12" t="n"/>
      <c r="AM70" s="12" t="n"/>
      <c r="AN70" s="12" t="n"/>
      <c r="AO70" s="12" t="n"/>
      <c r="AP70" s="12" t="n"/>
      <c r="AQ70" s="12" t="n"/>
      <c r="AR70" s="12" t="n"/>
      <c r="AS70" s="12" t="n"/>
      <c r="AT70" s="12" t="n"/>
      <c r="AU70" s="12" t="n"/>
      <c r="AV70" s="12" t="n"/>
      <c r="AW70" s="12" t="n"/>
      <c r="AX70" s="12" t="n"/>
      <c r="AY70" s="12" t="n"/>
      <c r="AZ70" s="12" t="n"/>
      <c r="BA70" s="12" t="n"/>
      <c r="BB70" s="12" t="n"/>
      <c r="BC70" s="12" t="n"/>
      <c r="BD70" s="12" t="n"/>
      <c r="BE70" s="12" t="n"/>
      <c r="BF70" s="12" t="n"/>
      <c r="BG70" s="12" t="n"/>
      <c r="BH70" s="12" t="n"/>
      <c r="BI70" s="12" t="n"/>
      <c r="BJ70" s="12" t="n"/>
      <c r="BK70" s="12" t="n"/>
      <c r="BL70" s="12" t="n"/>
      <c r="BM70" s="12" t="n"/>
      <c r="BN70" s="12" t="n"/>
      <c r="BO70" s="12" t="n"/>
      <c r="BP70" s="12" t="n"/>
      <c r="BQ70" s="12" t="n"/>
      <c r="BR70" s="12" t="n"/>
      <c r="BS70" s="12" t="n"/>
      <c r="BT70" s="12" t="n"/>
    </row>
    <row r="71">
      <c r="A71" s="7" t="inlineStr"/>
      <c r="B71" s="7" t="inlineStr"/>
      <c r="C71" s="8" t="inlineStr">
        <is>
          <t>CONSTRUCCIÓN – 4.4 AGENTE TUTOR E INYECCIÓN DE ERRORES</t>
        </is>
      </c>
      <c r="D71" s="7" t="inlineStr">
        <is>
          <t>Fase</t>
        </is>
      </c>
      <c r="E71" s="9" t="inlineStr"/>
      <c r="F71" s="9" t="inlineStr"/>
      <c r="G71" s="7">
        <f>SUM(G72:G78)</f>
        <v/>
      </c>
      <c r="H71" s="7">
        <f>IF(D71="Hito",0,J71-I71+1)</f>
        <v/>
      </c>
      <c r="I71" s="10">
        <f>MIN(I72:I78)</f>
        <v/>
      </c>
      <c r="J71" s="10">
        <f>MAX(J72:J78)</f>
        <v/>
      </c>
      <c r="K71" s="8" t="inlineStr"/>
      <c r="L71" s="7" t="inlineStr"/>
      <c r="M71" s="7" t="inlineStr"/>
      <c r="N71" s="11">
        <f>IFERROR(SUMPRODUCT(G72:G78,N72:N78)/SUM(G72:G78),0)</f>
        <v/>
      </c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/>
      <c r="AQ71" s="12" t="n"/>
      <c r="AR71" s="12" t="n"/>
      <c r="AS71" s="12" t="n"/>
      <c r="AT71" s="12" t="n"/>
      <c r="AU71" s="12" t="n"/>
      <c r="AV71" s="12" t="n"/>
      <c r="AW71" s="12" t="n"/>
      <c r="AX71" s="12" t="n"/>
      <c r="AY71" s="12" t="n"/>
      <c r="AZ71" s="12" t="n"/>
      <c r="BA71" s="12" t="n"/>
      <c r="BB71" s="12" t="n"/>
      <c r="BC71" s="12" t="n"/>
      <c r="BD71" s="12" t="n"/>
      <c r="BE71" s="12" t="n"/>
      <c r="BF71" s="12" t="n"/>
      <c r="BG71" s="12" t="n"/>
      <c r="BH71" s="12" t="n"/>
      <c r="BI71" s="12" t="n"/>
      <c r="BJ71" s="12" t="n"/>
      <c r="BK71" s="12" t="n"/>
      <c r="BL71" s="12" t="n"/>
      <c r="BM71" s="12" t="n"/>
      <c r="BN71" s="12" t="n"/>
      <c r="BO71" s="12" t="n"/>
      <c r="BP71" s="12" t="n"/>
      <c r="BQ71" s="12" t="n"/>
      <c r="BR71" s="12" t="n"/>
      <c r="BS71" s="12" t="n"/>
      <c r="BT71" s="12" t="n"/>
    </row>
    <row r="72">
      <c r="A72" s="13" t="inlineStr">
        <is>
          <t>4404</t>
        </is>
      </c>
      <c r="B72" s="13" t="inlineStr">
        <is>
          <t>4.4.4</t>
        </is>
      </c>
      <c r="C72" s="14" t="inlineStr">
        <is>
          <t>Implementar la configuración del porcentaje de errores (RF-08.1)</t>
        </is>
      </c>
      <c r="D72" s="13" t="inlineStr">
        <is>
          <t>Actividad</t>
        </is>
      </c>
      <c r="E72" s="15" t="inlineStr">
        <is>
          <t>Emmanuel Ospina</t>
        </is>
      </c>
      <c r="F72" s="15" t="inlineStr">
        <is>
          <t>Jahan Chará</t>
        </is>
      </c>
      <c r="G72" s="13" t="n">
        <v>5</v>
      </c>
      <c r="H72" s="13">
        <f>IF(D72="Hito",0,J72-I72+1)</f>
        <v/>
      </c>
      <c r="I72" s="16" t="n">
        <v>46327</v>
      </c>
      <c r="J72" s="16" t="n">
        <v>46328</v>
      </c>
      <c r="K72" s="14" t="inlineStr">
        <is>
          <t>4301</t>
        </is>
      </c>
      <c r="L72" s="13" t="inlineStr">
        <is>
          <t>Ciclo TSP 2</t>
        </is>
      </c>
      <c r="M72" s="13" t="inlineStr">
        <is>
          <t>Must</t>
        </is>
      </c>
      <c r="N72" s="19" t="n">
        <v>0</v>
      </c>
      <c r="O72" s="12" t="n"/>
      <c r="P72" s="12" t="n"/>
      <c r="Q72" s="12" t="n"/>
      <c r="R72" s="12" t="n"/>
      <c r="S72" s="12" t="n"/>
      <c r="T72" s="12" t="n"/>
      <c r="U72" s="12" t="n"/>
      <c r="V72" s="12" t="n"/>
      <c r="W72" s="12" t="n"/>
      <c r="X72" s="12" t="n"/>
      <c r="Y72" s="12" t="n"/>
      <c r="Z72" s="12" t="n"/>
      <c r="AA72" s="12" t="n"/>
      <c r="AB72" s="12" t="n"/>
      <c r="AC72" s="12" t="n"/>
      <c r="AD72" s="12" t="n"/>
      <c r="AE72" s="12" t="n"/>
      <c r="AF72" s="12" t="n"/>
      <c r="AG72" s="12" t="n"/>
      <c r="AH72" s="12" t="n"/>
      <c r="AI72" s="12" t="n"/>
      <c r="AJ72" s="12" t="n"/>
      <c r="AK72" s="12" t="n"/>
      <c r="AL72" s="12" t="n"/>
      <c r="AM72" s="12" t="n"/>
      <c r="AN72" s="12" t="n"/>
      <c r="AO72" s="12" t="n"/>
      <c r="AP72" s="12" t="n"/>
      <c r="AQ72" s="12" t="n"/>
      <c r="AR72" s="12" t="n"/>
      <c r="AS72" s="12" t="n"/>
      <c r="AT72" s="12" t="n"/>
      <c r="AU72" s="12" t="n"/>
      <c r="AV72" s="12" t="n"/>
      <c r="AW72" s="12" t="n"/>
      <c r="AX72" s="12" t="n"/>
      <c r="AY72" s="12" t="n"/>
      <c r="AZ72" s="12" t="n"/>
      <c r="BA72" s="12" t="n"/>
      <c r="BB72" s="12" t="n"/>
      <c r="BC72" s="12" t="n"/>
      <c r="BD72" s="12" t="n"/>
      <c r="BE72" s="12" t="n"/>
      <c r="BF72" s="12" t="n"/>
      <c r="BG72" s="12" t="n"/>
      <c r="BH72" s="12" t="n"/>
      <c r="BI72" s="12" t="n"/>
      <c r="BJ72" s="12" t="n"/>
      <c r="BK72" s="12" t="n"/>
      <c r="BL72" s="12" t="n"/>
      <c r="BM72" s="12" t="n"/>
      <c r="BN72" s="12" t="n"/>
      <c r="BO72" s="12" t="n"/>
      <c r="BP72" s="12" t="n"/>
      <c r="BQ72" s="12" t="n"/>
      <c r="BR72" s="12" t="n"/>
      <c r="BS72" s="12" t="n"/>
      <c r="BT72" s="12" t="n"/>
    </row>
    <row r="73">
      <c r="A73" s="13" t="inlineStr">
        <is>
          <t>4401</t>
        </is>
      </c>
      <c r="B73" s="13" t="inlineStr">
        <is>
          <t>4.4.1</t>
        </is>
      </c>
      <c r="C73" s="14" t="inlineStr">
        <is>
          <t>Implementar la conversación con el agente tutor (RF-07.1)</t>
        </is>
      </c>
      <c r="D73" s="13" t="inlineStr">
        <is>
          <t>Actividad</t>
        </is>
      </c>
      <c r="E73" s="15" t="inlineStr">
        <is>
          <t>Emmanuel Ospina</t>
        </is>
      </c>
      <c r="F73" s="15" t="inlineStr">
        <is>
          <t>Emmanuel Ospina</t>
        </is>
      </c>
      <c r="G73" s="13" t="n">
        <v>14</v>
      </c>
      <c r="H73" s="13">
        <f>IF(D73="Hito",0,J73-I73+1)</f>
        <v/>
      </c>
      <c r="I73" s="16" t="n">
        <v>46329</v>
      </c>
      <c r="J73" s="16" t="n">
        <v>46333</v>
      </c>
      <c r="K73" s="14" t="inlineStr">
        <is>
          <t>4209</t>
        </is>
      </c>
      <c r="L73" s="13" t="inlineStr">
        <is>
          <t>Ciclo TSP 2</t>
        </is>
      </c>
      <c r="M73" s="13" t="inlineStr">
        <is>
          <t>Must</t>
        </is>
      </c>
      <c r="N73" s="19" t="n">
        <v>0</v>
      </c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/>
      <c r="AQ73" s="12" t="n"/>
      <c r="AR73" s="12" t="n"/>
      <c r="AS73" s="12" t="n"/>
      <c r="AT73" s="12" t="n"/>
      <c r="AU73" s="12" t="n"/>
      <c r="AV73" s="12" t="n"/>
      <c r="AW73" s="12" t="n"/>
      <c r="AX73" s="12" t="n"/>
      <c r="AY73" s="12" t="n"/>
      <c r="AZ73" s="12" t="n"/>
      <c r="BA73" s="12" t="n"/>
      <c r="BB73" s="12" t="n"/>
      <c r="BC73" s="12" t="n"/>
      <c r="BD73" s="12" t="n"/>
      <c r="BE73" s="12" t="n"/>
      <c r="BF73" s="12" t="n"/>
      <c r="BG73" s="12" t="n"/>
      <c r="BH73" s="12" t="n"/>
      <c r="BI73" s="12" t="n"/>
      <c r="BJ73" s="12" t="n"/>
      <c r="BK73" s="12" t="n"/>
      <c r="BL73" s="12" t="n"/>
      <c r="BM73" s="12" t="n"/>
      <c r="BN73" s="12" t="n"/>
      <c r="BO73" s="12" t="n"/>
      <c r="BP73" s="12" t="n"/>
      <c r="BQ73" s="12" t="n"/>
      <c r="BR73" s="12" t="n"/>
      <c r="BS73" s="12" t="n"/>
      <c r="BT73" s="12" t="n"/>
    </row>
    <row r="74">
      <c r="A74" s="13" t="inlineStr">
        <is>
          <t>4405</t>
        </is>
      </c>
      <c r="B74" s="13" t="inlineStr">
        <is>
          <t>4.4.5</t>
        </is>
      </c>
      <c r="C74" s="14" t="inlineStr">
        <is>
          <t>Implementar los tipos de alteración de la IA (RF-08.2)</t>
        </is>
      </c>
      <c r="D74" s="13" t="inlineStr">
        <is>
          <t>Actividad</t>
        </is>
      </c>
      <c r="E74" s="15" t="inlineStr">
        <is>
          <t>Emmanuel Ospina</t>
        </is>
      </c>
      <c r="F74" s="15" t="inlineStr">
        <is>
          <t>Jahan Chará</t>
        </is>
      </c>
      <c r="G74" s="13" t="n">
        <v>6</v>
      </c>
      <c r="H74" s="13">
        <f>IF(D74="Hito",0,J74-I74+1)</f>
        <v/>
      </c>
      <c r="I74" s="16" t="n">
        <v>46329</v>
      </c>
      <c r="J74" s="16" t="n">
        <v>46330</v>
      </c>
      <c r="K74" s="14" t="inlineStr">
        <is>
          <t>4404</t>
        </is>
      </c>
      <c r="L74" s="13" t="inlineStr">
        <is>
          <t>Ciclo TSP 2</t>
        </is>
      </c>
      <c r="M74" s="13" t="inlineStr">
        <is>
          <t>Must</t>
        </is>
      </c>
      <c r="N74" s="19" t="n">
        <v>0</v>
      </c>
      <c r="O74" s="12" t="n"/>
      <c r="P74" s="12" t="n"/>
      <c r="Q74" s="12" t="n"/>
      <c r="R74" s="12" t="n"/>
      <c r="S74" s="12" t="n"/>
      <c r="T74" s="12" t="n"/>
      <c r="U74" s="12" t="n"/>
      <c r="V74" s="12" t="n"/>
      <c r="W74" s="12" t="n"/>
      <c r="X74" s="12" t="n"/>
      <c r="Y74" s="12" t="n"/>
      <c r="Z74" s="12" t="n"/>
      <c r="AA74" s="12" t="n"/>
      <c r="AB74" s="12" t="n"/>
      <c r="AC74" s="12" t="n"/>
      <c r="AD74" s="12" t="n"/>
      <c r="AE74" s="12" t="n"/>
      <c r="AF74" s="12" t="n"/>
      <c r="AG74" s="12" t="n"/>
      <c r="AH74" s="12" t="n"/>
      <c r="AI74" s="12" t="n"/>
      <c r="AJ74" s="12" t="n"/>
      <c r="AK74" s="12" t="n"/>
      <c r="AL74" s="12" t="n"/>
      <c r="AM74" s="12" t="n"/>
      <c r="AN74" s="12" t="n"/>
      <c r="AO74" s="12" t="n"/>
      <c r="AP74" s="12" t="n"/>
      <c r="AQ74" s="12" t="n"/>
      <c r="AR74" s="12" t="n"/>
      <c r="AS74" s="12" t="n"/>
      <c r="AT74" s="12" t="n"/>
      <c r="AU74" s="12" t="n"/>
      <c r="AV74" s="12" t="n"/>
      <c r="AW74" s="12" t="n"/>
      <c r="AX74" s="12" t="n"/>
      <c r="AY74" s="12" t="n"/>
      <c r="AZ74" s="12" t="n"/>
      <c r="BA74" s="12" t="n"/>
      <c r="BB74" s="12" t="n"/>
      <c r="BC74" s="12" t="n"/>
      <c r="BD74" s="12" t="n"/>
      <c r="BE74" s="12" t="n"/>
      <c r="BF74" s="12" t="n"/>
      <c r="BG74" s="12" t="n"/>
      <c r="BH74" s="12" t="n"/>
      <c r="BI74" s="12" t="n"/>
      <c r="BJ74" s="12" t="n"/>
      <c r="BK74" s="12" t="n"/>
      <c r="BL74" s="12" t="n"/>
      <c r="BM74" s="12" t="n"/>
      <c r="BN74" s="12" t="n"/>
      <c r="BO74" s="12" t="n"/>
      <c r="BP74" s="12" t="n"/>
      <c r="BQ74" s="12" t="n"/>
      <c r="BR74" s="12" t="n"/>
      <c r="BS74" s="12" t="n"/>
      <c r="BT74" s="12" t="n"/>
    </row>
    <row r="75">
      <c r="A75" s="13" t="inlineStr">
        <is>
          <t>4406</t>
        </is>
      </c>
      <c r="B75" s="13" t="inlineStr">
        <is>
          <t>4.4.6</t>
        </is>
      </c>
      <c r="C75" s="14" t="inlineStr">
        <is>
          <t>Registrar las alteraciones aplicadas (RF-08.3)</t>
        </is>
      </c>
      <c r="D75" s="13" t="inlineStr">
        <is>
          <t>Actividad</t>
        </is>
      </c>
      <c r="E75" s="15" t="inlineStr">
        <is>
          <t>Emmanuel Ospina</t>
        </is>
      </c>
      <c r="F75" s="15" t="inlineStr">
        <is>
          <t>Jahan Chará</t>
        </is>
      </c>
      <c r="G75" s="13" t="n">
        <v>3</v>
      </c>
      <c r="H75" s="13">
        <f>IF(D75="Hito",0,J75-I75+1)</f>
        <v/>
      </c>
      <c r="I75" s="16" t="n">
        <v>46331</v>
      </c>
      <c r="J75" s="16" t="n">
        <v>46331</v>
      </c>
      <c r="K75" s="14" t="inlineStr">
        <is>
          <t>4405</t>
        </is>
      </c>
      <c r="L75" s="13" t="inlineStr">
        <is>
          <t>Ciclo TSP 2</t>
        </is>
      </c>
      <c r="M75" s="13" t="inlineStr">
        <is>
          <t>Must</t>
        </is>
      </c>
      <c r="N75" s="19" t="n">
        <v>0</v>
      </c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/>
      <c r="AQ75" s="12" t="n"/>
      <c r="AR75" s="12" t="n"/>
      <c r="AS75" s="12" t="n"/>
      <c r="AT75" s="12" t="n"/>
      <c r="AU75" s="12" t="n"/>
      <c r="AV75" s="12" t="n"/>
      <c r="AW75" s="12" t="n"/>
      <c r="AX75" s="12" t="n"/>
      <c r="AY75" s="12" t="n"/>
      <c r="AZ75" s="12" t="n"/>
      <c r="BA75" s="12" t="n"/>
      <c r="BB75" s="12" t="n"/>
      <c r="BC75" s="12" t="n"/>
      <c r="BD75" s="12" t="n"/>
      <c r="BE75" s="12" t="n"/>
      <c r="BF75" s="12" t="n"/>
      <c r="BG75" s="12" t="n"/>
      <c r="BH75" s="12" t="n"/>
      <c r="BI75" s="12" t="n"/>
      <c r="BJ75" s="12" t="n"/>
      <c r="BK75" s="12" t="n"/>
      <c r="BL75" s="12" t="n"/>
      <c r="BM75" s="12" t="n"/>
      <c r="BN75" s="12" t="n"/>
      <c r="BO75" s="12" t="n"/>
      <c r="BP75" s="12" t="n"/>
      <c r="BQ75" s="12" t="n"/>
      <c r="BR75" s="12" t="n"/>
      <c r="BS75" s="12" t="n"/>
      <c r="BT75" s="12" t="n"/>
    </row>
    <row r="76">
      <c r="A76" s="13" t="inlineStr">
        <is>
          <t>4402</t>
        </is>
      </c>
      <c r="B76" s="13" t="inlineStr">
        <is>
          <t>4.4.2</t>
        </is>
      </c>
      <c r="C76" s="14" t="inlineStr">
        <is>
          <t>Restringir al tutor para que no revele la respuesta (RF-07.2)</t>
        </is>
      </c>
      <c r="D76" s="13" t="inlineStr">
        <is>
          <t>Actividad</t>
        </is>
      </c>
      <c r="E76" s="15" t="inlineStr">
        <is>
          <t>Emmanuel Ospina</t>
        </is>
      </c>
      <c r="F76" s="15" t="inlineStr">
        <is>
          <t>Jahan Chará</t>
        </is>
      </c>
      <c r="G76" s="13" t="n">
        <v>3</v>
      </c>
      <c r="H76" s="13">
        <f>IF(D76="Hito",0,J76-I76+1)</f>
        <v/>
      </c>
      <c r="I76" s="16" t="n">
        <v>46334</v>
      </c>
      <c r="J76" s="16" t="n">
        <v>46334</v>
      </c>
      <c r="K76" s="14" t="inlineStr">
        <is>
          <t>4401</t>
        </is>
      </c>
      <c r="L76" s="13" t="inlineStr">
        <is>
          <t>Ciclo TSP 2</t>
        </is>
      </c>
      <c r="M76" s="13" t="inlineStr">
        <is>
          <t>Must</t>
        </is>
      </c>
      <c r="N76" s="19" t="n">
        <v>0</v>
      </c>
      <c r="O76" s="12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 t="n"/>
      <c r="Y76" s="12" t="n"/>
      <c r="Z76" s="12" t="n"/>
      <c r="AA76" s="12" t="n"/>
      <c r="AB76" s="12" t="n"/>
      <c r="AC76" s="12" t="n"/>
      <c r="AD76" s="12" t="n"/>
      <c r="AE76" s="12" t="n"/>
      <c r="AF76" s="12" t="n"/>
      <c r="AG76" s="12" t="n"/>
      <c r="AH76" s="12" t="n"/>
      <c r="AI76" s="12" t="n"/>
      <c r="AJ76" s="12" t="n"/>
      <c r="AK76" s="12" t="n"/>
      <c r="AL76" s="12" t="n"/>
      <c r="AM76" s="12" t="n"/>
      <c r="AN76" s="12" t="n"/>
      <c r="AO76" s="12" t="n"/>
      <c r="AP76" s="12" t="n"/>
      <c r="AQ76" s="12" t="n"/>
      <c r="AR76" s="12" t="n"/>
      <c r="AS76" s="12" t="n"/>
      <c r="AT76" s="12" t="n"/>
      <c r="AU76" s="12" t="n"/>
      <c r="AV76" s="12" t="n"/>
      <c r="AW76" s="12" t="n"/>
      <c r="AX76" s="12" t="n"/>
      <c r="AY76" s="12" t="n"/>
      <c r="AZ76" s="12" t="n"/>
      <c r="BA76" s="12" t="n"/>
      <c r="BB76" s="12" t="n"/>
      <c r="BC76" s="12" t="n"/>
      <c r="BD76" s="12" t="n"/>
      <c r="BE76" s="12" t="n"/>
      <c r="BF76" s="12" t="n"/>
      <c r="BG76" s="12" t="n"/>
      <c r="BH76" s="12" t="n"/>
      <c r="BI76" s="12" t="n"/>
      <c r="BJ76" s="12" t="n"/>
      <c r="BK76" s="12" t="n"/>
      <c r="BL76" s="12" t="n"/>
      <c r="BM76" s="12" t="n"/>
      <c r="BN76" s="12" t="n"/>
      <c r="BO76" s="12" t="n"/>
      <c r="BP76" s="12" t="n"/>
      <c r="BQ76" s="12" t="n"/>
      <c r="BR76" s="12" t="n"/>
      <c r="BS76" s="12" t="n"/>
      <c r="BT76" s="12" t="n"/>
    </row>
    <row r="77">
      <c r="A77" s="13" t="inlineStr">
        <is>
          <t>4403</t>
        </is>
      </c>
      <c r="B77" s="13" t="inlineStr">
        <is>
          <t>4.4.3</t>
        </is>
      </c>
      <c r="C77" s="14" t="inlineStr">
        <is>
          <t>Implementar el respaldo ante fallas del LLM (RF-07.3)</t>
        </is>
      </c>
      <c r="D77" s="13" t="inlineStr">
        <is>
          <t>Actividad</t>
        </is>
      </c>
      <c r="E77" s="15" t="inlineStr">
        <is>
          <t>Emmanuel Ospina</t>
        </is>
      </c>
      <c r="F77" s="15" t="inlineStr">
        <is>
          <t>Jahan Chará</t>
        </is>
      </c>
      <c r="G77" s="13" t="n">
        <v>3</v>
      </c>
      <c r="H77" s="13">
        <f>IF(D77="Hito",0,J77-I77+1)</f>
        <v/>
      </c>
      <c r="I77" s="16" t="n">
        <v>46335</v>
      </c>
      <c r="J77" s="16" t="n">
        <v>46335</v>
      </c>
      <c r="K77" s="14" t="inlineStr">
        <is>
          <t>4401</t>
        </is>
      </c>
      <c r="L77" s="13" t="inlineStr">
        <is>
          <t>Ciclo TSP 2</t>
        </is>
      </c>
      <c r="M77" s="13" t="inlineStr">
        <is>
          <t>Must</t>
        </is>
      </c>
      <c r="N77" s="19" t="n">
        <v>0</v>
      </c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/>
      <c r="AQ77" s="12" t="n"/>
      <c r="AR77" s="12" t="n"/>
      <c r="AS77" s="12" t="n"/>
      <c r="AT77" s="12" t="n"/>
      <c r="AU77" s="12" t="n"/>
      <c r="AV77" s="12" t="n"/>
      <c r="AW77" s="12" t="n"/>
      <c r="AX77" s="12" t="n"/>
      <c r="AY77" s="12" t="n"/>
      <c r="AZ77" s="12" t="n"/>
      <c r="BA77" s="12" t="n"/>
      <c r="BB77" s="12" t="n"/>
      <c r="BC77" s="12" t="n"/>
      <c r="BD77" s="12" t="n"/>
      <c r="BE77" s="12" t="n"/>
      <c r="BF77" s="12" t="n"/>
      <c r="BG77" s="12" t="n"/>
      <c r="BH77" s="12" t="n"/>
      <c r="BI77" s="12" t="n"/>
      <c r="BJ77" s="12" t="n"/>
      <c r="BK77" s="12" t="n"/>
      <c r="BL77" s="12" t="n"/>
      <c r="BM77" s="12" t="n"/>
      <c r="BN77" s="12" t="n"/>
      <c r="BO77" s="12" t="n"/>
      <c r="BP77" s="12" t="n"/>
      <c r="BQ77" s="12" t="n"/>
      <c r="BR77" s="12" t="n"/>
      <c r="BS77" s="12" t="n"/>
      <c r="BT77" s="12" t="n"/>
    </row>
    <row r="78">
      <c r="A78" s="13" t="inlineStr">
        <is>
          <t>4407</t>
        </is>
      </c>
      <c r="B78" s="13" t="inlineStr">
        <is>
          <t>4.4.7</t>
        </is>
      </c>
      <c r="C78" s="14" t="inlineStr">
        <is>
          <t>Optimizar el tiempo de respuesta del tutor (RNF-03)</t>
        </is>
      </c>
      <c r="D78" s="13" t="inlineStr">
        <is>
          <t>Actividad</t>
        </is>
      </c>
      <c r="E78" s="15" t="inlineStr">
        <is>
          <t>Emmanuel Ospina</t>
        </is>
      </c>
      <c r="F78" s="15" t="inlineStr">
        <is>
          <t>Emmanuel Ospina</t>
        </is>
      </c>
      <c r="G78" s="13" t="n">
        <v>3</v>
      </c>
      <c r="H78" s="13">
        <f>IF(D78="Hito",0,J78-I78+1)</f>
        <v/>
      </c>
      <c r="I78" s="16" t="n">
        <v>46337</v>
      </c>
      <c r="J78" s="16" t="n">
        <v>46337</v>
      </c>
      <c r="K78" s="14" t="inlineStr">
        <is>
          <t>4401</t>
        </is>
      </c>
      <c r="L78" s="13" t="inlineStr">
        <is>
          <t>Ciclo TSP 2</t>
        </is>
      </c>
      <c r="M78" s="13" t="inlineStr">
        <is>
          <t>Must</t>
        </is>
      </c>
      <c r="N78" s="19" t="n">
        <v>0</v>
      </c>
      <c r="O78" s="12" t="n"/>
      <c r="P78" s="12" t="n"/>
      <c r="Q78" s="12" t="n"/>
      <c r="R78" s="12" t="n"/>
      <c r="S78" s="12" t="n"/>
      <c r="T78" s="12" t="n"/>
      <c r="U78" s="12" t="n"/>
      <c r="V78" s="12" t="n"/>
      <c r="W78" s="12" t="n"/>
      <c r="X78" s="12" t="n"/>
      <c r="Y78" s="12" t="n"/>
      <c r="Z78" s="12" t="n"/>
      <c r="AA78" s="12" t="n"/>
      <c r="AB78" s="12" t="n"/>
      <c r="AC78" s="12" t="n"/>
      <c r="AD78" s="12" t="n"/>
      <c r="AE78" s="12" t="n"/>
      <c r="AF78" s="12" t="n"/>
      <c r="AG78" s="12" t="n"/>
      <c r="AH78" s="12" t="n"/>
      <c r="AI78" s="12" t="n"/>
      <c r="AJ78" s="12" t="n"/>
      <c r="AK78" s="12" t="n"/>
      <c r="AL78" s="12" t="n"/>
      <c r="AM78" s="12" t="n"/>
      <c r="AN78" s="12" t="n"/>
      <c r="AO78" s="12" t="n"/>
      <c r="AP78" s="12" t="n"/>
      <c r="AQ78" s="12" t="n"/>
      <c r="AR78" s="12" t="n"/>
      <c r="AS78" s="12" t="n"/>
      <c r="AT78" s="12" t="n"/>
      <c r="AU78" s="12" t="n"/>
      <c r="AV78" s="12" t="n"/>
      <c r="AW78" s="12" t="n"/>
      <c r="AX78" s="12" t="n"/>
      <c r="AY78" s="12" t="n"/>
      <c r="AZ78" s="12" t="n"/>
      <c r="BA78" s="12" t="n"/>
      <c r="BB78" s="12" t="n"/>
      <c r="BC78" s="12" t="n"/>
      <c r="BD78" s="12" t="n"/>
      <c r="BE78" s="12" t="n"/>
      <c r="BF78" s="12" t="n"/>
      <c r="BG78" s="12" t="n"/>
      <c r="BH78" s="12" t="n"/>
      <c r="BI78" s="12" t="n"/>
      <c r="BJ78" s="12" t="n"/>
      <c r="BK78" s="12" t="n"/>
      <c r="BL78" s="12" t="n"/>
      <c r="BM78" s="12" t="n"/>
      <c r="BN78" s="12" t="n"/>
      <c r="BO78" s="12" t="n"/>
      <c r="BP78" s="12" t="n"/>
      <c r="BQ78" s="12" t="n"/>
      <c r="BR78" s="12" t="n"/>
      <c r="BS78" s="12" t="n"/>
      <c r="BT78" s="12" t="n"/>
    </row>
    <row r="79">
      <c r="A79" s="7" t="inlineStr"/>
      <c r="B79" s="7" t="inlineStr"/>
      <c r="C79" s="8" t="inlineStr">
        <is>
          <t>CONSTRUCCIÓN – 4.5 EVALUACIÓN, GAMIFICACIÓN Y REGISTRO</t>
        </is>
      </c>
      <c r="D79" s="7" t="inlineStr">
        <is>
          <t>Fase</t>
        </is>
      </c>
      <c r="E79" s="9" t="inlineStr"/>
      <c r="F79" s="9" t="inlineStr"/>
      <c r="G79" s="7">
        <f>SUM(G80:G86)</f>
        <v/>
      </c>
      <c r="H79" s="7">
        <f>IF(D79="Hito",0,J79-I79+1)</f>
        <v/>
      </c>
      <c r="I79" s="10">
        <f>MIN(I80:I86)</f>
        <v/>
      </c>
      <c r="J79" s="10">
        <f>MAX(J80:J86)</f>
        <v/>
      </c>
      <c r="K79" s="8" t="inlineStr"/>
      <c r="L79" s="7" t="inlineStr"/>
      <c r="M79" s="7" t="inlineStr"/>
      <c r="N79" s="11">
        <f>IFERROR(SUMPRODUCT(G80:G86,N80:N86)/SUM(G80:G86),0)</f>
        <v/>
      </c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/>
      <c r="AQ79" s="12" t="n"/>
      <c r="AR79" s="12" t="n"/>
      <c r="AS79" s="12" t="n"/>
      <c r="AT79" s="12" t="n"/>
      <c r="AU79" s="12" t="n"/>
      <c r="AV79" s="12" t="n"/>
      <c r="AW79" s="12" t="n"/>
      <c r="AX79" s="12" t="n"/>
      <c r="AY79" s="12" t="n"/>
      <c r="AZ79" s="12" t="n"/>
      <c r="BA79" s="12" t="n"/>
      <c r="BB79" s="12" t="n"/>
      <c r="BC79" s="12" t="n"/>
      <c r="BD79" s="12" t="n"/>
      <c r="BE79" s="12" t="n"/>
      <c r="BF79" s="12" t="n"/>
      <c r="BG79" s="12" t="n"/>
      <c r="BH79" s="12" t="n"/>
      <c r="BI79" s="12" t="n"/>
      <c r="BJ79" s="12" t="n"/>
      <c r="BK79" s="12" t="n"/>
      <c r="BL79" s="12" t="n"/>
      <c r="BM79" s="12" t="n"/>
      <c r="BN79" s="12" t="n"/>
      <c r="BO79" s="12" t="n"/>
      <c r="BP79" s="12" t="n"/>
      <c r="BQ79" s="12" t="n"/>
      <c r="BR79" s="12" t="n"/>
      <c r="BS79" s="12" t="n"/>
      <c r="BT79" s="12" t="n"/>
    </row>
    <row r="80">
      <c r="A80" s="13" t="inlineStr">
        <is>
          <t>4501</t>
        </is>
      </c>
      <c r="B80" s="13" t="inlineStr">
        <is>
          <t>4.5.1</t>
        </is>
      </c>
      <c r="C80" s="14" t="inlineStr">
        <is>
          <t>Implementar la decisión inicial y la confianza (RF-05)</t>
        </is>
      </c>
      <c r="D80" s="13" t="inlineStr">
        <is>
          <t>Actividad</t>
        </is>
      </c>
      <c r="E80" s="15" t="inlineStr">
        <is>
          <t>Diego Agudelo</t>
        </is>
      </c>
      <c r="F80" s="15" t="inlineStr">
        <is>
          <t>Jahan Chará</t>
        </is>
      </c>
      <c r="G80" s="13" t="n">
        <v>5</v>
      </c>
      <c r="H80" s="13">
        <f>IF(D80="Hito",0,J80-I80+1)</f>
        <v/>
      </c>
      <c r="I80" s="16" t="n">
        <v>46322</v>
      </c>
      <c r="J80" s="16" t="n">
        <v>46323</v>
      </c>
      <c r="K80" s="14" t="inlineStr">
        <is>
          <t>4204</t>
        </is>
      </c>
      <c r="L80" s="13" t="inlineStr">
        <is>
          <t>Ciclo TSP 2</t>
        </is>
      </c>
      <c r="M80" s="13" t="inlineStr">
        <is>
          <t>Must</t>
        </is>
      </c>
      <c r="N80" s="19" t="n">
        <v>0</v>
      </c>
      <c r="O80" s="12" t="n"/>
      <c r="P80" s="12" t="n"/>
      <c r="Q80" s="12" t="n"/>
      <c r="R80" s="12" t="n"/>
      <c r="S80" s="12" t="n"/>
      <c r="T80" s="12" t="n"/>
      <c r="U80" s="12" t="n"/>
      <c r="V80" s="12" t="n"/>
      <c r="W80" s="12" t="n"/>
      <c r="X80" s="12" t="n"/>
      <c r="Y80" s="12" t="n"/>
      <c r="Z80" s="12" t="n"/>
      <c r="AA80" s="12" t="n"/>
      <c r="AB80" s="12" t="n"/>
      <c r="AC80" s="12" t="n"/>
      <c r="AD80" s="12" t="n"/>
      <c r="AE80" s="12" t="n"/>
      <c r="AF80" s="12" t="n"/>
      <c r="AG80" s="12" t="n"/>
      <c r="AH80" s="12" t="n"/>
      <c r="AI80" s="12" t="n"/>
      <c r="AJ80" s="12" t="n"/>
      <c r="AK80" s="12" t="n"/>
      <c r="AL80" s="12" t="n"/>
      <c r="AM80" s="12" t="n"/>
      <c r="AN80" s="12" t="n"/>
      <c r="AO80" s="12" t="n"/>
      <c r="AP80" s="12" t="n"/>
      <c r="AQ80" s="12" t="n"/>
      <c r="AR80" s="12" t="n"/>
      <c r="AS80" s="12" t="n"/>
      <c r="AT80" s="12" t="n"/>
      <c r="AU80" s="12" t="n"/>
      <c r="AV80" s="12" t="n"/>
      <c r="AW80" s="12" t="n"/>
      <c r="AX80" s="12" t="n"/>
      <c r="AY80" s="12" t="n"/>
      <c r="AZ80" s="12" t="n"/>
      <c r="BA80" s="12" t="n"/>
      <c r="BB80" s="12" t="n"/>
      <c r="BC80" s="12" t="n"/>
      <c r="BD80" s="12" t="n"/>
      <c r="BE80" s="12" t="n"/>
      <c r="BF80" s="12" t="n"/>
      <c r="BG80" s="12" t="n"/>
      <c r="BH80" s="12" t="n"/>
      <c r="BI80" s="12" t="n"/>
      <c r="BJ80" s="12" t="n"/>
      <c r="BK80" s="12" t="n"/>
      <c r="BL80" s="12" t="n"/>
      <c r="BM80" s="12" t="n"/>
      <c r="BN80" s="12" t="n"/>
      <c r="BO80" s="12" t="n"/>
      <c r="BP80" s="12" t="n"/>
      <c r="BQ80" s="12" t="n"/>
      <c r="BR80" s="12" t="n"/>
      <c r="BS80" s="12" t="n"/>
      <c r="BT80" s="12" t="n"/>
    </row>
    <row r="81">
      <c r="A81" s="13" t="inlineStr">
        <is>
          <t>4502</t>
        </is>
      </c>
      <c r="B81" s="13" t="inlineStr">
        <is>
          <t>4.5.2</t>
        </is>
      </c>
      <c r="C81" s="14" t="inlineStr">
        <is>
          <t>Implementar la decisión final (RF-09)</t>
        </is>
      </c>
      <c r="D81" s="13" t="inlineStr">
        <is>
          <t>Actividad</t>
        </is>
      </c>
      <c r="E81" s="15" t="inlineStr">
        <is>
          <t>Diego Agudelo</t>
        </is>
      </c>
      <c r="F81" s="15" t="inlineStr">
        <is>
          <t>Diego Agudelo</t>
        </is>
      </c>
      <c r="G81" s="13" t="n">
        <v>3</v>
      </c>
      <c r="H81" s="13">
        <f>IF(D81="Hito",0,J81-I81+1)</f>
        <v/>
      </c>
      <c r="I81" s="16" t="n">
        <v>46331</v>
      </c>
      <c r="J81" s="16" t="n">
        <v>46331</v>
      </c>
      <c r="K81" s="14" t="inlineStr">
        <is>
          <t>4302</t>
        </is>
      </c>
      <c r="L81" s="13" t="inlineStr">
        <is>
          <t>Ciclo TSP 2</t>
        </is>
      </c>
      <c r="M81" s="13" t="inlineStr">
        <is>
          <t>Must</t>
        </is>
      </c>
      <c r="N81" s="19" t="n">
        <v>0</v>
      </c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  <c r="AR81" s="12" t="n"/>
      <c r="AS81" s="12" t="n"/>
      <c r="AT81" s="12" t="n"/>
      <c r="AU81" s="12" t="n"/>
      <c r="AV81" s="12" t="n"/>
      <c r="AW81" s="12" t="n"/>
      <c r="AX81" s="12" t="n"/>
      <c r="AY81" s="12" t="n"/>
      <c r="AZ81" s="12" t="n"/>
      <c r="BA81" s="12" t="n"/>
      <c r="BB81" s="12" t="n"/>
      <c r="BC81" s="12" t="n"/>
      <c r="BD81" s="12" t="n"/>
      <c r="BE81" s="12" t="n"/>
      <c r="BF81" s="12" t="n"/>
      <c r="BG81" s="12" t="n"/>
      <c r="BH81" s="12" t="n"/>
      <c r="BI81" s="12" t="n"/>
      <c r="BJ81" s="12" t="n"/>
      <c r="BK81" s="12" t="n"/>
      <c r="BL81" s="12" t="n"/>
      <c r="BM81" s="12" t="n"/>
      <c r="BN81" s="12" t="n"/>
      <c r="BO81" s="12" t="n"/>
      <c r="BP81" s="12" t="n"/>
      <c r="BQ81" s="12" t="n"/>
      <c r="BR81" s="12" t="n"/>
      <c r="BS81" s="12" t="n"/>
      <c r="BT81" s="12" t="n"/>
    </row>
    <row r="82">
      <c r="A82" s="13" t="inlineStr">
        <is>
          <t>4503</t>
        </is>
      </c>
      <c r="B82" s="13" t="inlineStr">
        <is>
          <t>4.5.3</t>
        </is>
      </c>
      <c r="C82" s="14" t="inlineStr">
        <is>
          <t>Implementar la retroalimentación y el puntaje (RF-10)</t>
        </is>
      </c>
      <c r="D82" s="13" t="inlineStr">
        <is>
          <t>Actividad</t>
        </is>
      </c>
      <c r="E82" s="15" t="inlineStr">
        <is>
          <t>Diego Agudelo</t>
        </is>
      </c>
      <c r="F82" s="15" t="inlineStr">
        <is>
          <t>Diego Agudelo</t>
        </is>
      </c>
      <c r="G82" s="13" t="n">
        <v>8</v>
      </c>
      <c r="H82" s="13">
        <f>IF(D82="Hito",0,J82-I82+1)</f>
        <v/>
      </c>
      <c r="I82" s="16" t="n">
        <v>46332</v>
      </c>
      <c r="J82" s="16" t="n">
        <v>46334</v>
      </c>
      <c r="K82" s="14" t="inlineStr">
        <is>
          <t>4502</t>
        </is>
      </c>
      <c r="L82" s="13" t="inlineStr">
        <is>
          <t>Ciclo TSP 2</t>
        </is>
      </c>
      <c r="M82" s="13" t="inlineStr">
        <is>
          <t>Must</t>
        </is>
      </c>
      <c r="N82" s="19" t="n">
        <v>0</v>
      </c>
      <c r="O82" s="12" t="n"/>
      <c r="P82" s="12" t="n"/>
      <c r="Q82" s="12" t="n"/>
      <c r="R82" s="12" t="n"/>
      <c r="S82" s="12" t="n"/>
      <c r="T82" s="12" t="n"/>
      <c r="U82" s="12" t="n"/>
      <c r="V82" s="12" t="n"/>
      <c r="W82" s="12" t="n"/>
      <c r="X82" s="12" t="n"/>
      <c r="Y82" s="12" t="n"/>
      <c r="Z82" s="12" t="n"/>
      <c r="AA82" s="12" t="n"/>
      <c r="AB82" s="12" t="n"/>
      <c r="AC82" s="12" t="n"/>
      <c r="AD82" s="12" t="n"/>
      <c r="AE82" s="12" t="n"/>
      <c r="AF82" s="12" t="n"/>
      <c r="AG82" s="12" t="n"/>
      <c r="AH82" s="12" t="n"/>
      <c r="AI82" s="12" t="n"/>
      <c r="AJ82" s="12" t="n"/>
      <c r="AK82" s="12" t="n"/>
      <c r="AL82" s="12" t="n"/>
      <c r="AM82" s="12" t="n"/>
      <c r="AN82" s="12" t="n"/>
      <c r="AO82" s="12" t="n"/>
      <c r="AP82" s="12" t="n"/>
      <c r="AQ82" s="12" t="n"/>
      <c r="AR82" s="12" t="n"/>
      <c r="AS82" s="12" t="n"/>
      <c r="AT82" s="12" t="n"/>
      <c r="AU82" s="12" t="n"/>
      <c r="AV82" s="12" t="n"/>
      <c r="AW82" s="12" t="n"/>
      <c r="AX82" s="12" t="n"/>
      <c r="AY82" s="12" t="n"/>
      <c r="AZ82" s="12" t="n"/>
      <c r="BA82" s="12" t="n"/>
      <c r="BB82" s="12" t="n"/>
      <c r="BC82" s="12" t="n"/>
      <c r="BD82" s="12" t="n"/>
      <c r="BE82" s="12" t="n"/>
      <c r="BF82" s="12" t="n"/>
      <c r="BG82" s="12" t="n"/>
      <c r="BH82" s="12" t="n"/>
      <c r="BI82" s="12" t="n"/>
      <c r="BJ82" s="12" t="n"/>
      <c r="BK82" s="12" t="n"/>
      <c r="BL82" s="12" t="n"/>
      <c r="BM82" s="12" t="n"/>
      <c r="BN82" s="12" t="n"/>
      <c r="BO82" s="12" t="n"/>
      <c r="BP82" s="12" t="n"/>
      <c r="BQ82" s="12" t="n"/>
      <c r="BR82" s="12" t="n"/>
      <c r="BS82" s="12" t="n"/>
      <c r="BT82" s="12" t="n"/>
    </row>
    <row r="83">
      <c r="A83" s="13" t="inlineStr">
        <is>
          <t>4505</t>
        </is>
      </c>
      <c r="B83" s="13" t="inlineStr">
        <is>
          <t>4.5.5</t>
        </is>
      </c>
      <c r="C83" s="14" t="inlineStr">
        <is>
          <t>Implementar la telemetría del intento (RF-12)</t>
        </is>
      </c>
      <c r="D83" s="13" t="inlineStr">
        <is>
          <t>Actividad</t>
        </is>
      </c>
      <c r="E83" s="15" t="inlineStr">
        <is>
          <t>Diego Agudelo</t>
        </is>
      </c>
      <c r="F83" s="15" t="inlineStr">
        <is>
          <t>Nestor Velasco</t>
        </is>
      </c>
      <c r="G83" s="13" t="n">
        <v>10</v>
      </c>
      <c r="H83" s="13">
        <f>IF(D83="Hito",0,J83-I83+1)</f>
        <v/>
      </c>
      <c r="I83" s="16" t="n">
        <v>46332</v>
      </c>
      <c r="J83" s="16" t="n">
        <v>46335</v>
      </c>
      <c r="K83" s="14" t="inlineStr">
        <is>
          <t>4502</t>
        </is>
      </c>
      <c r="L83" s="13" t="inlineStr">
        <is>
          <t>Ciclo TSP 2</t>
        </is>
      </c>
      <c r="M83" s="13" t="inlineStr">
        <is>
          <t>Must</t>
        </is>
      </c>
      <c r="N83" s="19" t="n">
        <v>0</v>
      </c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  <c r="AR83" s="12" t="n"/>
      <c r="AS83" s="12" t="n"/>
      <c r="AT83" s="12" t="n"/>
      <c r="AU83" s="12" t="n"/>
      <c r="AV83" s="12" t="n"/>
      <c r="AW83" s="12" t="n"/>
      <c r="AX83" s="12" t="n"/>
      <c r="AY83" s="12" t="n"/>
      <c r="AZ83" s="12" t="n"/>
      <c r="BA83" s="12" t="n"/>
      <c r="BB83" s="12" t="n"/>
      <c r="BC83" s="12" t="n"/>
      <c r="BD83" s="12" t="n"/>
      <c r="BE83" s="12" t="n"/>
      <c r="BF83" s="12" t="n"/>
      <c r="BG83" s="12" t="n"/>
      <c r="BH83" s="12" t="n"/>
      <c r="BI83" s="12" t="n"/>
      <c r="BJ83" s="12" t="n"/>
      <c r="BK83" s="12" t="n"/>
      <c r="BL83" s="12" t="n"/>
      <c r="BM83" s="12" t="n"/>
      <c r="BN83" s="12" t="n"/>
      <c r="BO83" s="12" t="n"/>
      <c r="BP83" s="12" t="n"/>
      <c r="BQ83" s="12" t="n"/>
      <c r="BR83" s="12" t="n"/>
      <c r="BS83" s="12" t="n"/>
      <c r="BT83" s="12" t="n"/>
    </row>
    <row r="84">
      <c r="A84" s="13" t="inlineStr">
        <is>
          <t>4504</t>
        </is>
      </c>
      <c r="B84" s="13" t="inlineStr">
        <is>
          <t>4.5.4</t>
        </is>
      </c>
      <c r="C84" s="14" t="inlineStr">
        <is>
          <t>Implementar puntos, niveles e insignias (RF-11)</t>
        </is>
      </c>
      <c r="D84" s="13" t="inlineStr">
        <is>
          <t>Actividad</t>
        </is>
      </c>
      <c r="E84" s="15" t="inlineStr">
        <is>
          <t>Diego Agudelo</t>
        </is>
      </c>
      <c r="F84" s="15" t="inlineStr">
        <is>
          <t>Jahan Chará</t>
        </is>
      </c>
      <c r="G84" s="13" t="n">
        <v>12</v>
      </c>
      <c r="H84" s="13">
        <f>IF(D84="Hito",0,J84-I84+1)</f>
        <v/>
      </c>
      <c r="I84" s="16" t="n">
        <v>46336</v>
      </c>
      <c r="J84" s="16" t="n">
        <v>46339</v>
      </c>
      <c r="K84" s="14" t="inlineStr">
        <is>
          <t>4503</t>
        </is>
      </c>
      <c r="L84" s="13" t="inlineStr">
        <is>
          <t>Ciclo TSP 2</t>
        </is>
      </c>
      <c r="M84" s="13" t="inlineStr">
        <is>
          <t>Should</t>
        </is>
      </c>
      <c r="N84" s="19" t="n">
        <v>0</v>
      </c>
      <c r="O84" s="12" t="n"/>
      <c r="P84" s="12" t="n"/>
      <c r="Q84" s="12" t="n"/>
      <c r="R84" s="12" t="n"/>
      <c r="S84" s="12" t="n"/>
      <c r="T84" s="12" t="n"/>
      <c r="U84" s="12" t="n"/>
      <c r="V84" s="12" t="n"/>
      <c r="W84" s="12" t="n"/>
      <c r="X84" s="12" t="n"/>
      <c r="Y84" s="12" t="n"/>
      <c r="Z84" s="12" t="n"/>
      <c r="AA84" s="12" t="n"/>
      <c r="AB84" s="12" t="n"/>
      <c r="AC84" s="12" t="n"/>
      <c r="AD84" s="12" t="n"/>
      <c r="AE84" s="12" t="n"/>
      <c r="AF84" s="12" t="n"/>
      <c r="AG84" s="12" t="n"/>
      <c r="AH84" s="12" t="n"/>
      <c r="AI84" s="12" t="n"/>
      <c r="AJ84" s="12" t="n"/>
      <c r="AK84" s="12" t="n"/>
      <c r="AL84" s="12" t="n"/>
      <c r="AM84" s="12" t="n"/>
      <c r="AN84" s="12" t="n"/>
      <c r="AO84" s="12" t="n"/>
      <c r="AP84" s="12" t="n"/>
      <c r="AQ84" s="12" t="n"/>
      <c r="AR84" s="12" t="n"/>
      <c r="AS84" s="12" t="n"/>
      <c r="AT84" s="12" t="n"/>
      <c r="AU84" s="12" t="n"/>
      <c r="AV84" s="12" t="n"/>
      <c r="AW84" s="12" t="n"/>
      <c r="AX84" s="12" t="n"/>
      <c r="AY84" s="12" t="n"/>
      <c r="AZ84" s="12" t="n"/>
      <c r="BA84" s="12" t="n"/>
      <c r="BB84" s="12" t="n"/>
      <c r="BC84" s="12" t="n"/>
      <c r="BD84" s="12" t="n"/>
      <c r="BE84" s="12" t="n"/>
      <c r="BF84" s="12" t="n"/>
      <c r="BG84" s="12" t="n"/>
      <c r="BH84" s="12" t="n"/>
      <c r="BI84" s="12" t="n"/>
      <c r="BJ84" s="12" t="n"/>
      <c r="BK84" s="12" t="n"/>
      <c r="BL84" s="12" t="n"/>
      <c r="BM84" s="12" t="n"/>
      <c r="BN84" s="12" t="n"/>
      <c r="BO84" s="12" t="n"/>
      <c r="BP84" s="12" t="n"/>
      <c r="BQ84" s="12" t="n"/>
      <c r="BR84" s="12" t="n"/>
      <c r="BS84" s="12" t="n"/>
      <c r="BT84" s="12" t="n"/>
    </row>
    <row r="85">
      <c r="A85" s="13" t="inlineStr">
        <is>
          <t>4507</t>
        </is>
      </c>
      <c r="B85" s="13" t="inlineStr">
        <is>
          <t>4.5.7</t>
        </is>
      </c>
      <c r="C85" s="14" t="inlineStr">
        <is>
          <t>Implementar la exportación a CSV (RF-15)</t>
        </is>
      </c>
      <c r="D85" s="13" t="inlineStr">
        <is>
          <t>Actividad</t>
        </is>
      </c>
      <c r="E85" s="15" t="inlineStr">
        <is>
          <t>Diego Agudelo</t>
        </is>
      </c>
      <c r="F85" s="15" t="inlineStr">
        <is>
          <t>Nestor Velasco</t>
        </is>
      </c>
      <c r="G85" s="13" t="n">
        <v>4</v>
      </c>
      <c r="H85" s="13">
        <f>IF(D85="Hito",0,J85-I85+1)</f>
        <v/>
      </c>
      <c r="I85" s="16" t="n">
        <v>46336</v>
      </c>
      <c r="J85" s="16" t="n">
        <v>46337</v>
      </c>
      <c r="K85" s="14" t="inlineStr">
        <is>
          <t>4505</t>
        </is>
      </c>
      <c r="L85" s="13" t="inlineStr">
        <is>
          <t>Ciclo TSP 2</t>
        </is>
      </c>
      <c r="M85" s="13" t="inlineStr">
        <is>
          <t>Should</t>
        </is>
      </c>
      <c r="N85" s="19" t="n">
        <v>0</v>
      </c>
      <c r="O85" s="12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 t="n"/>
      <c r="Y85" s="12" t="n"/>
      <c r="Z85" s="12" t="n"/>
      <c r="AA85" s="12" t="n"/>
      <c r="AB85" s="12" t="n"/>
      <c r="AC85" s="12" t="n"/>
      <c r="AD85" s="12" t="n"/>
      <c r="AE85" s="12" t="n"/>
      <c r="AF85" s="12" t="n"/>
      <c r="AG85" s="12" t="n"/>
      <c r="AH85" s="12" t="n"/>
      <c r="AI85" s="12" t="n"/>
      <c r="AJ85" s="12" t="n"/>
      <c r="AK85" s="12" t="n"/>
      <c r="AL85" s="12" t="n"/>
      <c r="AM85" s="12" t="n"/>
      <c r="AN85" s="12" t="n"/>
      <c r="AO85" s="12" t="n"/>
      <c r="AP85" s="12" t="n"/>
      <c r="AQ85" s="12" t="n"/>
      <c r="AR85" s="12" t="n"/>
      <c r="AS85" s="12" t="n"/>
      <c r="AT85" s="12" t="n"/>
      <c r="AU85" s="12" t="n"/>
      <c r="AV85" s="12" t="n"/>
      <c r="AW85" s="12" t="n"/>
      <c r="AX85" s="12" t="n"/>
      <c r="AY85" s="12" t="n"/>
      <c r="AZ85" s="12" t="n"/>
      <c r="BA85" s="12" t="n"/>
      <c r="BB85" s="12" t="n"/>
      <c r="BC85" s="12" t="n"/>
      <c r="BD85" s="12" t="n"/>
      <c r="BE85" s="12" t="n"/>
      <c r="BF85" s="12" t="n"/>
      <c r="BG85" s="12" t="n"/>
      <c r="BH85" s="12" t="n"/>
      <c r="BI85" s="12" t="n"/>
      <c r="BJ85" s="12" t="n"/>
      <c r="BK85" s="12" t="n"/>
      <c r="BL85" s="12" t="n"/>
      <c r="BM85" s="12" t="n"/>
      <c r="BN85" s="12" t="n"/>
      <c r="BO85" s="12" t="n"/>
      <c r="BP85" s="12" t="n"/>
      <c r="BQ85" s="12" t="n"/>
      <c r="BR85" s="12" t="n"/>
      <c r="BS85" s="12" t="n"/>
      <c r="BT85" s="12" t="n"/>
    </row>
    <row r="86">
      <c r="A86" s="13" t="inlineStr">
        <is>
          <t>4506</t>
        </is>
      </c>
      <c r="B86" s="13" t="inlineStr">
        <is>
          <t>4.5.6</t>
        </is>
      </c>
      <c r="C86" s="14" t="inlineStr">
        <is>
          <t>Desarrollar el tablero de desempeño (RF-13)</t>
        </is>
      </c>
      <c r="D86" s="13" t="inlineStr">
        <is>
          <t>Actividad</t>
        </is>
      </c>
      <c r="E86" s="15" t="inlineStr">
        <is>
          <t>Diego Agudelo</t>
        </is>
      </c>
      <c r="F86" s="15" t="inlineStr">
        <is>
          <t>Diego Agudelo</t>
        </is>
      </c>
      <c r="G86" s="13" t="n">
        <v>14</v>
      </c>
      <c r="H86" s="13">
        <f>IF(D86="Hito",0,J86-I86+1)</f>
        <v/>
      </c>
      <c r="I86" s="16" t="n">
        <v>46340</v>
      </c>
      <c r="J86" s="16" t="n">
        <v>46344</v>
      </c>
      <c r="K86" s="14" t="inlineStr">
        <is>
          <t>4505</t>
        </is>
      </c>
      <c r="L86" s="13" t="inlineStr">
        <is>
          <t>Ciclo TSP 3</t>
        </is>
      </c>
      <c r="M86" s="13" t="inlineStr">
        <is>
          <t>Should</t>
        </is>
      </c>
      <c r="N86" s="19" t="n">
        <v>0</v>
      </c>
      <c r="O86" s="12" t="n"/>
      <c r="P86" s="12" t="n"/>
      <c r="Q86" s="12" t="n"/>
      <c r="R86" s="12" t="n"/>
      <c r="S86" s="12" t="n"/>
      <c r="T86" s="12" t="n"/>
      <c r="U86" s="12" t="n"/>
      <c r="V86" s="12" t="n"/>
      <c r="W86" s="12" t="n"/>
      <c r="X86" s="12" t="n"/>
      <c r="Y86" s="12" t="n"/>
      <c r="Z86" s="12" t="n"/>
      <c r="AA86" s="12" t="n"/>
      <c r="AB86" s="12" t="n"/>
      <c r="AC86" s="12" t="n"/>
      <c r="AD86" s="12" t="n"/>
      <c r="AE86" s="12" t="n"/>
      <c r="AF86" s="12" t="n"/>
      <c r="AG86" s="12" t="n"/>
      <c r="AH86" s="12" t="n"/>
      <c r="AI86" s="12" t="n"/>
      <c r="AJ86" s="12" t="n"/>
      <c r="AK86" s="12" t="n"/>
      <c r="AL86" s="12" t="n"/>
      <c r="AM86" s="12" t="n"/>
      <c r="AN86" s="12" t="n"/>
      <c r="AO86" s="12" t="n"/>
      <c r="AP86" s="12" t="n"/>
      <c r="AQ86" s="12" t="n"/>
      <c r="AR86" s="12" t="n"/>
      <c r="AS86" s="12" t="n"/>
      <c r="AT86" s="12" t="n"/>
      <c r="AU86" s="12" t="n"/>
      <c r="AV86" s="12" t="n"/>
      <c r="AW86" s="12" t="n"/>
      <c r="AX86" s="12" t="n"/>
      <c r="AY86" s="12" t="n"/>
      <c r="AZ86" s="12" t="n"/>
      <c r="BA86" s="12" t="n"/>
      <c r="BB86" s="12" t="n"/>
      <c r="BC86" s="12" t="n"/>
      <c r="BD86" s="12" t="n"/>
      <c r="BE86" s="12" t="n"/>
      <c r="BF86" s="12" t="n"/>
      <c r="BG86" s="12" t="n"/>
      <c r="BH86" s="12" t="n"/>
      <c r="BI86" s="12" t="n"/>
      <c r="BJ86" s="12" t="n"/>
      <c r="BK86" s="12" t="n"/>
      <c r="BL86" s="12" t="n"/>
      <c r="BM86" s="12" t="n"/>
      <c r="BN86" s="12" t="n"/>
      <c r="BO86" s="12" t="n"/>
      <c r="BP86" s="12" t="n"/>
      <c r="BQ86" s="12" t="n"/>
      <c r="BR86" s="12" t="n"/>
      <c r="BS86" s="12" t="n"/>
      <c r="BT86" s="12" t="n"/>
    </row>
    <row r="87">
      <c r="A87" s="7" t="inlineStr"/>
      <c r="B87" s="7" t="inlineStr"/>
      <c r="C87" s="8" t="inlineStr">
        <is>
          <t>CONSTRUCCIÓN – 4.6 PLATAFORMA E INTEGRACIÓN</t>
        </is>
      </c>
      <c r="D87" s="7" t="inlineStr">
        <is>
          <t>Fase</t>
        </is>
      </c>
      <c r="E87" s="9" t="inlineStr"/>
      <c r="F87" s="9" t="inlineStr"/>
      <c r="G87" s="7">
        <f>SUM(G88:G100)</f>
        <v/>
      </c>
      <c r="H87" s="7">
        <f>IF(D87="Hito",0,J87-I87+1)</f>
        <v/>
      </c>
      <c r="I87" s="10">
        <f>MIN(I88:I100)</f>
        <v/>
      </c>
      <c r="J87" s="10">
        <f>MAX(J88:J100)</f>
        <v/>
      </c>
      <c r="K87" s="8" t="inlineStr"/>
      <c r="L87" s="7" t="inlineStr"/>
      <c r="M87" s="7" t="inlineStr"/>
      <c r="N87" s="11">
        <f>IFERROR(SUMPRODUCT(G88:G100,N88:N100)/SUM(G88:G100),0)</f>
        <v/>
      </c>
      <c r="O87" s="12" t="n"/>
      <c r="P87" s="12" t="n"/>
      <c r="Q87" s="12" t="n"/>
      <c r="R87" s="12" t="n"/>
      <c r="S87" s="12" t="n"/>
      <c r="T87" s="12" t="n"/>
      <c r="U87" s="12" t="n"/>
      <c r="V87" s="12" t="n"/>
      <c r="W87" s="12" t="n"/>
      <c r="X87" s="12" t="n"/>
      <c r="Y87" s="12" t="n"/>
      <c r="Z87" s="12" t="n"/>
      <c r="AA87" s="12" t="n"/>
      <c r="AB87" s="12" t="n"/>
      <c r="AC87" s="12" t="n"/>
      <c r="AD87" s="12" t="n"/>
      <c r="AE87" s="12" t="n"/>
      <c r="AF87" s="12" t="n"/>
      <c r="AG87" s="12" t="n"/>
      <c r="AH87" s="12" t="n"/>
      <c r="AI87" s="12" t="n"/>
      <c r="AJ87" s="12" t="n"/>
      <c r="AK87" s="12" t="n"/>
      <c r="AL87" s="12" t="n"/>
      <c r="AM87" s="12" t="n"/>
      <c r="AN87" s="12" t="n"/>
      <c r="AO87" s="12" t="n"/>
      <c r="AP87" s="12" t="n"/>
      <c r="AQ87" s="12" t="n"/>
      <c r="AR87" s="12" t="n"/>
      <c r="AS87" s="12" t="n"/>
      <c r="AT87" s="12" t="n"/>
      <c r="AU87" s="12" t="n"/>
      <c r="AV87" s="12" t="n"/>
      <c r="AW87" s="12" t="n"/>
      <c r="AX87" s="12" t="n"/>
      <c r="AY87" s="12" t="n"/>
      <c r="AZ87" s="12" t="n"/>
      <c r="BA87" s="12" t="n"/>
      <c r="BB87" s="12" t="n"/>
      <c r="BC87" s="12" t="n"/>
      <c r="BD87" s="12" t="n"/>
      <c r="BE87" s="12" t="n"/>
      <c r="BF87" s="12" t="n"/>
      <c r="BG87" s="12" t="n"/>
      <c r="BH87" s="12" t="n"/>
      <c r="BI87" s="12" t="n"/>
      <c r="BJ87" s="12" t="n"/>
      <c r="BK87" s="12" t="n"/>
      <c r="BL87" s="12" t="n"/>
      <c r="BM87" s="12" t="n"/>
      <c r="BN87" s="12" t="n"/>
      <c r="BO87" s="12" t="n"/>
      <c r="BP87" s="12" t="n"/>
      <c r="BQ87" s="12" t="n"/>
      <c r="BR87" s="12" t="n"/>
      <c r="BS87" s="12" t="n"/>
      <c r="BT87" s="12" t="n"/>
    </row>
    <row r="88">
      <c r="A88" s="13" t="inlineStr">
        <is>
          <t>4612</t>
        </is>
      </c>
      <c r="B88" s="13" t="inlineStr">
        <is>
          <t>4.6.12</t>
        </is>
      </c>
      <c r="C88" s="14" t="inlineStr">
        <is>
          <t>Empaquetar el sistema con Docker (RNF-10)</t>
        </is>
      </c>
      <c r="D88" s="13" t="inlineStr">
        <is>
          <t>Actividad</t>
        </is>
      </c>
      <c r="E88" s="15" t="inlineStr">
        <is>
          <t>Diego Agudelo</t>
        </is>
      </c>
      <c r="F88" s="15" t="inlineStr">
        <is>
          <t>Nestor Velasco</t>
        </is>
      </c>
      <c r="G88" s="13" t="n">
        <v>8</v>
      </c>
      <c r="H88" s="13">
        <f>IF(D88="Hito",0,J88-I88+1)</f>
        <v/>
      </c>
      <c r="I88" s="16" t="n">
        <v>46310</v>
      </c>
      <c r="J88" s="16" t="n">
        <v>46312</v>
      </c>
      <c r="K88" s="14" t="inlineStr">
        <is>
          <t>3101</t>
        </is>
      </c>
      <c r="L88" s="13" t="inlineStr">
        <is>
          <t>Ciclo TSP 1</t>
        </is>
      </c>
      <c r="M88" s="13" t="inlineStr">
        <is>
          <t>Must</t>
        </is>
      </c>
      <c r="N88" s="19" t="n">
        <v>0</v>
      </c>
      <c r="O88" s="12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2" t="n"/>
      <c r="Z88" s="12" t="n"/>
      <c r="AA88" s="12" t="n"/>
      <c r="AB88" s="12" t="n"/>
      <c r="AC88" s="12" t="n"/>
      <c r="AD88" s="12" t="n"/>
      <c r="AE88" s="12" t="n"/>
      <c r="AF88" s="12" t="n"/>
      <c r="AG88" s="12" t="n"/>
      <c r="AH88" s="12" t="n"/>
      <c r="AI88" s="12" t="n"/>
      <c r="AJ88" s="12" t="n"/>
      <c r="AK88" s="12" t="n"/>
      <c r="AL88" s="12" t="n"/>
      <c r="AM88" s="12" t="n"/>
      <c r="AN88" s="12" t="n"/>
      <c r="AO88" s="12" t="n"/>
      <c r="AP88" s="12" t="n"/>
      <c r="AQ88" s="12" t="n"/>
      <c r="AR88" s="12" t="n"/>
      <c r="AS88" s="12" t="n"/>
      <c r="AT88" s="12" t="n"/>
      <c r="AU88" s="12" t="n"/>
      <c r="AV88" s="12" t="n"/>
      <c r="AW88" s="12" t="n"/>
      <c r="AX88" s="12" t="n"/>
      <c r="AY88" s="12" t="n"/>
      <c r="AZ88" s="12" t="n"/>
      <c r="BA88" s="12" t="n"/>
      <c r="BB88" s="12" t="n"/>
      <c r="BC88" s="12" t="n"/>
      <c r="BD88" s="12" t="n"/>
      <c r="BE88" s="12" t="n"/>
      <c r="BF88" s="12" t="n"/>
      <c r="BG88" s="12" t="n"/>
      <c r="BH88" s="12" t="n"/>
      <c r="BI88" s="12" t="n"/>
      <c r="BJ88" s="12" t="n"/>
      <c r="BK88" s="12" t="n"/>
      <c r="BL88" s="12" t="n"/>
      <c r="BM88" s="12" t="n"/>
      <c r="BN88" s="12" t="n"/>
      <c r="BO88" s="12" t="n"/>
      <c r="BP88" s="12" t="n"/>
      <c r="BQ88" s="12" t="n"/>
      <c r="BR88" s="12" t="n"/>
      <c r="BS88" s="12" t="n"/>
      <c r="BT88" s="12" t="n"/>
    </row>
    <row r="89">
      <c r="A89" s="13" t="inlineStr">
        <is>
          <t>4601</t>
        </is>
      </c>
      <c r="B89" s="13" t="inlineStr">
        <is>
          <t>4.6.1</t>
        </is>
      </c>
      <c r="C89" s="14" t="inlineStr">
        <is>
          <t>Implementar el registro de usuarios (RF-01.1)</t>
        </is>
      </c>
      <c r="D89" s="13" t="inlineStr">
        <is>
          <t>Actividad</t>
        </is>
      </c>
      <c r="E89" s="15" t="inlineStr">
        <is>
          <t>Diego Agudelo</t>
        </is>
      </c>
      <c r="F89" s="15" t="inlineStr">
        <is>
          <t>Diego Agudelo</t>
        </is>
      </c>
      <c r="G89" s="13" t="n">
        <v>4</v>
      </c>
      <c r="H89" s="13">
        <f>IF(D89="Hito",0,J89-I89+1)</f>
        <v/>
      </c>
      <c r="I89" s="16" t="n">
        <v>46313</v>
      </c>
      <c r="J89" s="16" t="n">
        <v>46314</v>
      </c>
      <c r="K89" s="14" t="inlineStr">
        <is>
          <t>3301</t>
        </is>
      </c>
      <c r="L89" s="13" t="inlineStr">
        <is>
          <t>Ciclo TSP 1</t>
        </is>
      </c>
      <c r="M89" s="13" t="inlineStr">
        <is>
          <t>Must</t>
        </is>
      </c>
      <c r="N89" s="19" t="n">
        <v>0</v>
      </c>
      <c r="O89" s="12" t="n"/>
      <c r="P89" s="12" t="n"/>
      <c r="Q89" s="12" t="n"/>
      <c r="R89" s="12" t="n"/>
      <c r="S89" s="12" t="n"/>
      <c r="T89" s="12" t="n"/>
      <c r="U89" s="12" t="n"/>
      <c r="V89" s="12" t="n"/>
      <c r="W89" s="12" t="n"/>
      <c r="X89" s="12" t="n"/>
      <c r="Y89" s="12" t="n"/>
      <c r="Z89" s="12" t="n"/>
      <c r="AA89" s="12" t="n"/>
      <c r="AB89" s="12" t="n"/>
      <c r="AC89" s="12" t="n"/>
      <c r="AD89" s="12" t="n"/>
      <c r="AE89" s="12" t="n"/>
      <c r="AF89" s="12" t="n"/>
      <c r="AG89" s="12" t="n"/>
      <c r="AH89" s="12" t="n"/>
      <c r="AI89" s="12" t="n"/>
      <c r="AJ89" s="12" t="n"/>
      <c r="AK89" s="12" t="n"/>
      <c r="AL89" s="12" t="n"/>
      <c r="AM89" s="12" t="n"/>
      <c r="AN89" s="12" t="n"/>
      <c r="AO89" s="12" t="n"/>
      <c r="AP89" s="12" t="n"/>
      <c r="AQ89" s="12" t="n"/>
      <c r="AR89" s="12" t="n"/>
      <c r="AS89" s="12" t="n"/>
      <c r="AT89" s="12" t="n"/>
      <c r="AU89" s="12" t="n"/>
      <c r="AV89" s="12" t="n"/>
      <c r="AW89" s="12" t="n"/>
      <c r="AX89" s="12" t="n"/>
      <c r="AY89" s="12" t="n"/>
      <c r="AZ89" s="12" t="n"/>
      <c r="BA89" s="12" t="n"/>
      <c r="BB89" s="12" t="n"/>
      <c r="BC89" s="12" t="n"/>
      <c r="BD89" s="12" t="n"/>
      <c r="BE89" s="12" t="n"/>
      <c r="BF89" s="12" t="n"/>
      <c r="BG89" s="12" t="n"/>
      <c r="BH89" s="12" t="n"/>
      <c r="BI89" s="12" t="n"/>
      <c r="BJ89" s="12" t="n"/>
      <c r="BK89" s="12" t="n"/>
      <c r="BL89" s="12" t="n"/>
      <c r="BM89" s="12" t="n"/>
      <c r="BN89" s="12" t="n"/>
      <c r="BO89" s="12" t="n"/>
      <c r="BP89" s="12" t="n"/>
      <c r="BQ89" s="12" t="n"/>
      <c r="BR89" s="12" t="n"/>
      <c r="BS89" s="12" t="n"/>
      <c r="BT89" s="12" t="n"/>
    </row>
    <row r="90">
      <c r="A90" s="13" t="inlineStr">
        <is>
          <t>4611</t>
        </is>
      </c>
      <c r="B90" s="13" t="inlineStr">
        <is>
          <t>4.6.11</t>
        </is>
      </c>
      <c r="C90" s="14" t="inlineStr">
        <is>
          <t>Construir las pruebas automatizadas y la integración continua (RNF-09)</t>
        </is>
      </c>
      <c r="D90" s="13" t="inlineStr">
        <is>
          <t>Actividad</t>
        </is>
      </c>
      <c r="E90" s="15" t="inlineStr">
        <is>
          <t>Diego Agudelo</t>
        </is>
      </c>
      <c r="F90" s="15" t="inlineStr">
        <is>
          <t>Nestor Velasco</t>
        </is>
      </c>
      <c r="G90" s="13" t="n">
        <v>20</v>
      </c>
      <c r="H90" s="13">
        <f>IF(D90="Hito",0,J90-I90+1)</f>
        <v/>
      </c>
      <c r="I90" s="16" t="n">
        <v>46314</v>
      </c>
      <c r="J90" s="16" t="n">
        <v>46348</v>
      </c>
      <c r="K90" s="14" t="inlineStr">
        <is>
          <t>H08</t>
        </is>
      </c>
      <c r="L90" s="13" t="inlineStr">
        <is>
          <t>Continuo</t>
        </is>
      </c>
      <c r="M90" s="13" t="inlineStr">
        <is>
          <t>Must</t>
        </is>
      </c>
      <c r="N90" s="19" t="n">
        <v>0</v>
      </c>
      <c r="O90" s="12" t="n"/>
      <c r="P90" s="12" t="n"/>
      <c r="Q90" s="12" t="n"/>
      <c r="R90" s="12" t="n"/>
      <c r="S90" s="12" t="n"/>
      <c r="T90" s="12" t="n"/>
      <c r="U90" s="12" t="n"/>
      <c r="V90" s="12" t="n"/>
      <c r="W90" s="12" t="n"/>
      <c r="X90" s="12" t="n"/>
      <c r="Y90" s="12" t="n"/>
      <c r="Z90" s="12" t="n"/>
      <c r="AA90" s="12" t="n"/>
      <c r="AB90" s="12" t="n"/>
      <c r="AC90" s="12" t="n"/>
      <c r="AD90" s="12" t="n"/>
      <c r="AE90" s="12" t="n"/>
      <c r="AF90" s="12" t="n"/>
      <c r="AG90" s="12" t="n"/>
      <c r="AH90" s="12" t="n"/>
      <c r="AI90" s="12" t="n"/>
      <c r="AJ90" s="12" t="n"/>
      <c r="AK90" s="12" t="n"/>
      <c r="AL90" s="12" t="n"/>
      <c r="AM90" s="12" t="n"/>
      <c r="AN90" s="12" t="n"/>
      <c r="AO90" s="12" t="n"/>
      <c r="AP90" s="12" t="n"/>
      <c r="AQ90" s="12" t="n"/>
      <c r="AR90" s="12" t="n"/>
      <c r="AS90" s="12" t="n"/>
      <c r="AT90" s="12" t="n"/>
      <c r="AU90" s="12" t="n"/>
      <c r="AV90" s="12" t="n"/>
      <c r="AW90" s="12" t="n"/>
      <c r="AX90" s="12" t="n"/>
      <c r="AY90" s="12" t="n"/>
      <c r="AZ90" s="12" t="n"/>
      <c r="BA90" s="12" t="n"/>
      <c r="BB90" s="12" t="n"/>
      <c r="BC90" s="12" t="n"/>
      <c r="BD90" s="12" t="n"/>
      <c r="BE90" s="12" t="n"/>
      <c r="BF90" s="12" t="n"/>
      <c r="BG90" s="12" t="n"/>
      <c r="BH90" s="12" t="n"/>
      <c r="BI90" s="12" t="n"/>
      <c r="BJ90" s="12" t="n"/>
      <c r="BK90" s="12" t="n"/>
      <c r="BL90" s="12" t="n"/>
      <c r="BM90" s="12" t="n"/>
      <c r="BN90" s="12" t="n"/>
      <c r="BO90" s="12" t="n"/>
      <c r="BP90" s="12" t="n"/>
      <c r="BQ90" s="12" t="n"/>
      <c r="BR90" s="12" t="n"/>
      <c r="BS90" s="12" t="n"/>
      <c r="BT90" s="12" t="n"/>
    </row>
    <row r="91">
      <c r="A91" s="13" t="inlineStr">
        <is>
          <t>4602</t>
        </is>
      </c>
      <c r="B91" s="13" t="inlineStr">
        <is>
          <t>4.6.2</t>
        </is>
      </c>
      <c r="C91" s="14" t="inlineStr">
        <is>
          <t>Implementar el inicio y cierre de sesión (RF-01.2)</t>
        </is>
      </c>
      <c r="D91" s="13" t="inlineStr">
        <is>
          <t>Actividad</t>
        </is>
      </c>
      <c r="E91" s="15" t="inlineStr">
        <is>
          <t>Diego Agudelo</t>
        </is>
      </c>
      <c r="F91" s="15" t="inlineStr">
        <is>
          <t>Diego Agudelo</t>
        </is>
      </c>
      <c r="G91" s="13" t="n">
        <v>3</v>
      </c>
      <c r="H91" s="13">
        <f>IF(D91="Hito",0,J91-I91+1)</f>
        <v/>
      </c>
      <c r="I91" s="16" t="n">
        <v>46315</v>
      </c>
      <c r="J91" s="16" t="n">
        <v>46315</v>
      </c>
      <c r="K91" s="14" t="inlineStr">
        <is>
          <t>4601</t>
        </is>
      </c>
      <c r="L91" s="13" t="inlineStr">
        <is>
          <t>Ciclo TSP 1</t>
        </is>
      </c>
      <c r="M91" s="13" t="inlineStr">
        <is>
          <t>Must</t>
        </is>
      </c>
      <c r="N91" s="19" t="n">
        <v>0</v>
      </c>
      <c r="O91" s="12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2" t="n"/>
      <c r="Z91" s="12" t="n"/>
      <c r="AA91" s="12" t="n"/>
      <c r="AB91" s="12" t="n"/>
      <c r="AC91" s="12" t="n"/>
      <c r="AD91" s="12" t="n"/>
      <c r="AE91" s="12" t="n"/>
      <c r="AF91" s="12" t="n"/>
      <c r="AG91" s="12" t="n"/>
      <c r="AH91" s="12" t="n"/>
      <c r="AI91" s="12" t="n"/>
      <c r="AJ91" s="12" t="n"/>
      <c r="AK91" s="12" t="n"/>
      <c r="AL91" s="12" t="n"/>
      <c r="AM91" s="12" t="n"/>
      <c r="AN91" s="12" t="n"/>
      <c r="AO91" s="12" t="n"/>
      <c r="AP91" s="12" t="n"/>
      <c r="AQ91" s="12" t="n"/>
      <c r="AR91" s="12" t="n"/>
      <c r="AS91" s="12" t="n"/>
      <c r="AT91" s="12" t="n"/>
      <c r="AU91" s="12" t="n"/>
      <c r="AV91" s="12" t="n"/>
      <c r="AW91" s="12" t="n"/>
      <c r="AX91" s="12" t="n"/>
      <c r="AY91" s="12" t="n"/>
      <c r="AZ91" s="12" t="n"/>
      <c r="BA91" s="12" t="n"/>
      <c r="BB91" s="12" t="n"/>
      <c r="BC91" s="12" t="n"/>
      <c r="BD91" s="12" t="n"/>
      <c r="BE91" s="12" t="n"/>
      <c r="BF91" s="12" t="n"/>
      <c r="BG91" s="12" t="n"/>
      <c r="BH91" s="12" t="n"/>
      <c r="BI91" s="12" t="n"/>
      <c r="BJ91" s="12" t="n"/>
      <c r="BK91" s="12" t="n"/>
      <c r="BL91" s="12" t="n"/>
      <c r="BM91" s="12" t="n"/>
      <c r="BN91" s="12" t="n"/>
      <c r="BO91" s="12" t="n"/>
      <c r="BP91" s="12" t="n"/>
      <c r="BQ91" s="12" t="n"/>
      <c r="BR91" s="12" t="n"/>
      <c r="BS91" s="12" t="n"/>
      <c r="BT91" s="12" t="n"/>
    </row>
    <row r="92">
      <c r="A92" s="13" t="inlineStr">
        <is>
          <t>4605</t>
        </is>
      </c>
      <c r="B92" s="13" t="inlineStr">
        <is>
          <t>4.6.5</t>
        </is>
      </c>
      <c r="C92" s="14" t="inlineStr">
        <is>
          <t>Implementar la verificación en dos pasos (2FA) (RF-01.5)</t>
        </is>
      </c>
      <c r="D92" s="13" t="inlineStr">
        <is>
          <t>Actividad</t>
        </is>
      </c>
      <c r="E92" s="15" t="inlineStr">
        <is>
          <t>Diego Agudelo</t>
        </is>
      </c>
      <c r="F92" s="15" t="inlineStr">
        <is>
          <t>Diego Agudelo</t>
        </is>
      </c>
      <c r="G92" s="13" t="n">
        <v>8</v>
      </c>
      <c r="H92" s="13">
        <f>IF(D92="Hito",0,J92-I92+1)</f>
        <v/>
      </c>
      <c r="I92" s="16" t="n">
        <v>46316</v>
      </c>
      <c r="J92" s="16" t="n">
        <v>46318</v>
      </c>
      <c r="K92" s="14" t="inlineStr">
        <is>
          <t>4602</t>
        </is>
      </c>
      <c r="L92" s="13" t="inlineStr">
        <is>
          <t>Ciclo TSP 1</t>
        </is>
      </c>
      <c r="M92" s="13" t="inlineStr">
        <is>
          <t>Must</t>
        </is>
      </c>
      <c r="N92" s="19" t="n">
        <v>0</v>
      </c>
      <c r="O92" s="12" t="n"/>
      <c r="P92" s="12" t="n"/>
      <c r="Q92" s="12" t="n"/>
      <c r="R92" s="12" t="n"/>
      <c r="S92" s="12" t="n"/>
      <c r="T92" s="12" t="n"/>
      <c r="U92" s="12" t="n"/>
      <c r="V92" s="12" t="n"/>
      <c r="W92" s="12" t="n"/>
      <c r="X92" s="12" t="n"/>
      <c r="Y92" s="12" t="n"/>
      <c r="Z92" s="12" t="n"/>
      <c r="AA92" s="12" t="n"/>
      <c r="AB92" s="12" t="n"/>
      <c r="AC92" s="12" t="n"/>
      <c r="AD92" s="12" t="n"/>
      <c r="AE92" s="12" t="n"/>
      <c r="AF92" s="12" t="n"/>
      <c r="AG92" s="12" t="n"/>
      <c r="AH92" s="12" t="n"/>
      <c r="AI92" s="12" t="n"/>
      <c r="AJ92" s="12" t="n"/>
      <c r="AK92" s="12" t="n"/>
      <c r="AL92" s="12" t="n"/>
      <c r="AM92" s="12" t="n"/>
      <c r="AN92" s="12" t="n"/>
      <c r="AO92" s="12" t="n"/>
      <c r="AP92" s="12" t="n"/>
      <c r="AQ92" s="12" t="n"/>
      <c r="AR92" s="12" t="n"/>
      <c r="AS92" s="12" t="n"/>
      <c r="AT92" s="12" t="n"/>
      <c r="AU92" s="12" t="n"/>
      <c r="AV92" s="12" t="n"/>
      <c r="AW92" s="12" t="n"/>
      <c r="AX92" s="12" t="n"/>
      <c r="AY92" s="12" t="n"/>
      <c r="AZ92" s="12" t="n"/>
      <c r="BA92" s="12" t="n"/>
      <c r="BB92" s="12" t="n"/>
      <c r="BC92" s="12" t="n"/>
      <c r="BD92" s="12" t="n"/>
      <c r="BE92" s="12" t="n"/>
      <c r="BF92" s="12" t="n"/>
      <c r="BG92" s="12" t="n"/>
      <c r="BH92" s="12" t="n"/>
      <c r="BI92" s="12" t="n"/>
      <c r="BJ92" s="12" t="n"/>
      <c r="BK92" s="12" t="n"/>
      <c r="BL92" s="12" t="n"/>
      <c r="BM92" s="12" t="n"/>
      <c r="BN92" s="12" t="n"/>
      <c r="BO92" s="12" t="n"/>
      <c r="BP92" s="12" t="n"/>
      <c r="BQ92" s="12" t="n"/>
      <c r="BR92" s="12" t="n"/>
      <c r="BS92" s="12" t="n"/>
      <c r="BT92" s="12" t="n"/>
    </row>
    <row r="93">
      <c r="A93" s="13" t="inlineStr">
        <is>
          <t>4604</t>
        </is>
      </c>
      <c r="B93" s="13" t="inlineStr">
        <is>
          <t>4.6.4</t>
        </is>
      </c>
      <c r="C93" s="14" t="inlineStr">
        <is>
          <t>Implementar el consentimiento y el aviso académico (RF-01.4)</t>
        </is>
      </c>
      <c r="D93" s="13" t="inlineStr">
        <is>
          <t>Actividad</t>
        </is>
      </c>
      <c r="E93" s="15" t="inlineStr">
        <is>
          <t>Diego Agudelo</t>
        </is>
      </c>
      <c r="F93" s="15" t="inlineStr">
        <is>
          <t>Nestor Velasco</t>
        </is>
      </c>
      <c r="G93" s="13" t="n">
        <v>3</v>
      </c>
      <c r="H93" s="13">
        <f>IF(D93="Hito",0,J93-I93+1)</f>
        <v/>
      </c>
      <c r="I93" s="16" t="n">
        <v>46319</v>
      </c>
      <c r="J93" s="16" t="n">
        <v>46319</v>
      </c>
      <c r="K93" s="14" t="inlineStr">
        <is>
          <t>4605</t>
        </is>
      </c>
      <c r="L93" s="13" t="inlineStr">
        <is>
          <t>Ciclo TSP 1</t>
        </is>
      </c>
      <c r="M93" s="13" t="inlineStr">
        <is>
          <t>Must</t>
        </is>
      </c>
      <c r="N93" s="19" t="n">
        <v>0</v>
      </c>
      <c r="O93" s="12" t="n"/>
      <c r="P93" s="12" t="n"/>
      <c r="Q93" s="12" t="n"/>
      <c r="R93" s="12" t="n"/>
      <c r="S93" s="12" t="n"/>
      <c r="T93" s="12" t="n"/>
      <c r="U93" s="12" t="n"/>
      <c r="V93" s="12" t="n"/>
      <c r="W93" s="12" t="n"/>
      <c r="X93" s="12" t="n"/>
      <c r="Y93" s="12" t="n"/>
      <c r="Z93" s="12" t="n"/>
      <c r="AA93" s="12" t="n"/>
      <c r="AB93" s="12" t="n"/>
      <c r="AC93" s="12" t="n"/>
      <c r="AD93" s="12" t="n"/>
      <c r="AE93" s="12" t="n"/>
      <c r="AF93" s="12" t="n"/>
      <c r="AG93" s="12" t="n"/>
      <c r="AH93" s="12" t="n"/>
      <c r="AI93" s="12" t="n"/>
      <c r="AJ93" s="12" t="n"/>
      <c r="AK93" s="12" t="n"/>
      <c r="AL93" s="12" t="n"/>
      <c r="AM93" s="12" t="n"/>
      <c r="AN93" s="12" t="n"/>
      <c r="AO93" s="12" t="n"/>
      <c r="AP93" s="12" t="n"/>
      <c r="AQ93" s="12" t="n"/>
      <c r="AR93" s="12" t="n"/>
      <c r="AS93" s="12" t="n"/>
      <c r="AT93" s="12" t="n"/>
      <c r="AU93" s="12" t="n"/>
      <c r="AV93" s="12" t="n"/>
      <c r="AW93" s="12" t="n"/>
      <c r="AX93" s="12" t="n"/>
      <c r="AY93" s="12" t="n"/>
      <c r="AZ93" s="12" t="n"/>
      <c r="BA93" s="12" t="n"/>
      <c r="BB93" s="12" t="n"/>
      <c r="BC93" s="12" t="n"/>
      <c r="BD93" s="12" t="n"/>
      <c r="BE93" s="12" t="n"/>
      <c r="BF93" s="12" t="n"/>
      <c r="BG93" s="12" t="n"/>
      <c r="BH93" s="12" t="n"/>
      <c r="BI93" s="12" t="n"/>
      <c r="BJ93" s="12" t="n"/>
      <c r="BK93" s="12" t="n"/>
      <c r="BL93" s="12" t="n"/>
      <c r="BM93" s="12" t="n"/>
      <c r="BN93" s="12" t="n"/>
      <c r="BO93" s="12" t="n"/>
      <c r="BP93" s="12" t="n"/>
      <c r="BQ93" s="12" t="n"/>
      <c r="BR93" s="12" t="n"/>
      <c r="BS93" s="12" t="n"/>
      <c r="BT93" s="12" t="n"/>
    </row>
    <row r="94">
      <c r="A94" s="13" t="inlineStr">
        <is>
          <t>4606</t>
        </is>
      </c>
      <c r="B94" s="13" t="inlineStr">
        <is>
          <t>4.6.6</t>
        </is>
      </c>
      <c r="C94" s="14" t="inlineStr">
        <is>
          <t>Implementar la activación de 2FA y los códigos de recuperación (RF-01.6)</t>
        </is>
      </c>
      <c r="D94" s="13" t="inlineStr">
        <is>
          <t>Actividad</t>
        </is>
      </c>
      <c r="E94" s="15" t="inlineStr">
        <is>
          <t>Diego Agudelo</t>
        </is>
      </c>
      <c r="F94" s="15" t="inlineStr">
        <is>
          <t>Diego Agudelo</t>
        </is>
      </c>
      <c r="G94" s="13" t="n">
        <v>6</v>
      </c>
      <c r="H94" s="13">
        <f>IF(D94="Hito",0,J94-I94+1)</f>
        <v/>
      </c>
      <c r="I94" s="16" t="n">
        <v>46319</v>
      </c>
      <c r="J94" s="16" t="n">
        <v>46320</v>
      </c>
      <c r="K94" s="14" t="inlineStr">
        <is>
          <t>4605</t>
        </is>
      </c>
      <c r="L94" s="13" t="inlineStr">
        <is>
          <t>Ciclo TSP 1</t>
        </is>
      </c>
      <c r="M94" s="13" t="inlineStr">
        <is>
          <t>Must</t>
        </is>
      </c>
      <c r="N94" s="19" t="n">
        <v>0</v>
      </c>
      <c r="O94" s="12" t="n"/>
      <c r="P94" s="12" t="n"/>
      <c r="Q94" s="12" t="n"/>
      <c r="R94" s="12" t="n"/>
      <c r="S94" s="12" t="n"/>
      <c r="T94" s="12" t="n"/>
      <c r="U94" s="12" t="n"/>
      <c r="V94" s="12" t="n"/>
      <c r="W94" s="12" t="n"/>
      <c r="X94" s="12" t="n"/>
      <c r="Y94" s="12" t="n"/>
      <c r="Z94" s="12" t="n"/>
      <c r="AA94" s="12" t="n"/>
      <c r="AB94" s="12" t="n"/>
      <c r="AC94" s="12" t="n"/>
      <c r="AD94" s="12" t="n"/>
      <c r="AE94" s="12" t="n"/>
      <c r="AF94" s="12" t="n"/>
      <c r="AG94" s="12" t="n"/>
      <c r="AH94" s="12" t="n"/>
      <c r="AI94" s="12" t="n"/>
      <c r="AJ94" s="12" t="n"/>
      <c r="AK94" s="12" t="n"/>
      <c r="AL94" s="12" t="n"/>
      <c r="AM94" s="12" t="n"/>
      <c r="AN94" s="12" t="n"/>
      <c r="AO94" s="12" t="n"/>
      <c r="AP94" s="12" t="n"/>
      <c r="AQ94" s="12" t="n"/>
      <c r="AR94" s="12" t="n"/>
      <c r="AS94" s="12" t="n"/>
      <c r="AT94" s="12" t="n"/>
      <c r="AU94" s="12" t="n"/>
      <c r="AV94" s="12" t="n"/>
      <c r="AW94" s="12" t="n"/>
      <c r="AX94" s="12" t="n"/>
      <c r="AY94" s="12" t="n"/>
      <c r="AZ94" s="12" t="n"/>
      <c r="BA94" s="12" t="n"/>
      <c r="BB94" s="12" t="n"/>
      <c r="BC94" s="12" t="n"/>
      <c r="BD94" s="12" t="n"/>
      <c r="BE94" s="12" t="n"/>
      <c r="BF94" s="12" t="n"/>
      <c r="BG94" s="12" t="n"/>
      <c r="BH94" s="12" t="n"/>
      <c r="BI94" s="12" t="n"/>
      <c r="BJ94" s="12" t="n"/>
      <c r="BK94" s="12" t="n"/>
      <c r="BL94" s="12" t="n"/>
      <c r="BM94" s="12" t="n"/>
      <c r="BN94" s="12" t="n"/>
      <c r="BO94" s="12" t="n"/>
      <c r="BP94" s="12" t="n"/>
      <c r="BQ94" s="12" t="n"/>
      <c r="BR94" s="12" t="n"/>
      <c r="BS94" s="12" t="n"/>
      <c r="BT94" s="12" t="n"/>
    </row>
    <row r="95">
      <c r="A95" s="13" t="inlineStr">
        <is>
          <t>4610</t>
        </is>
      </c>
      <c r="B95" s="13" t="inlineStr">
        <is>
          <t>4.6.10</t>
        </is>
      </c>
      <c r="C95" s="14" t="inlineStr">
        <is>
          <t>Implementar los controles de seguridad (RNF-07)</t>
        </is>
      </c>
      <c r="D95" s="13" t="inlineStr">
        <is>
          <t>Actividad</t>
        </is>
      </c>
      <c r="E95" s="15" t="inlineStr">
        <is>
          <t>Diego Agudelo</t>
        </is>
      </c>
      <c r="F95" s="15" t="inlineStr">
        <is>
          <t>Nestor Velasco</t>
        </is>
      </c>
      <c r="G95" s="13" t="n">
        <v>5</v>
      </c>
      <c r="H95" s="13">
        <f>IF(D95="Hito",0,J95-I95+1)</f>
        <v/>
      </c>
      <c r="I95" s="16" t="n">
        <v>46321</v>
      </c>
      <c r="J95" s="16" t="n">
        <v>46322</v>
      </c>
      <c r="K95" s="14" t="inlineStr">
        <is>
          <t>4606</t>
        </is>
      </c>
      <c r="L95" s="13" t="inlineStr">
        <is>
          <t>Ciclo TSP 2</t>
        </is>
      </c>
      <c r="M95" s="13" t="inlineStr">
        <is>
          <t>Must</t>
        </is>
      </c>
      <c r="N95" s="19" t="n">
        <v>0</v>
      </c>
      <c r="O95" s="12" t="n"/>
      <c r="P95" s="12" t="n"/>
      <c r="Q95" s="12" t="n"/>
      <c r="R95" s="12" t="n"/>
      <c r="S95" s="12" t="n"/>
      <c r="T95" s="12" t="n"/>
      <c r="U95" s="12" t="n"/>
      <c r="V95" s="12" t="n"/>
      <c r="W95" s="12" t="n"/>
      <c r="X95" s="12" t="n"/>
      <c r="Y95" s="12" t="n"/>
      <c r="Z95" s="12" t="n"/>
      <c r="AA95" s="12" t="n"/>
      <c r="AB95" s="12" t="n"/>
      <c r="AC95" s="12" t="n"/>
      <c r="AD95" s="12" t="n"/>
      <c r="AE95" s="12" t="n"/>
      <c r="AF95" s="12" t="n"/>
      <c r="AG95" s="12" t="n"/>
      <c r="AH95" s="12" t="n"/>
      <c r="AI95" s="12" t="n"/>
      <c r="AJ95" s="12" t="n"/>
      <c r="AK95" s="12" t="n"/>
      <c r="AL95" s="12" t="n"/>
      <c r="AM95" s="12" t="n"/>
      <c r="AN95" s="12" t="n"/>
      <c r="AO95" s="12" t="n"/>
      <c r="AP95" s="12" t="n"/>
      <c r="AQ95" s="12" t="n"/>
      <c r="AR95" s="12" t="n"/>
      <c r="AS95" s="12" t="n"/>
      <c r="AT95" s="12" t="n"/>
      <c r="AU95" s="12" t="n"/>
      <c r="AV95" s="12" t="n"/>
      <c r="AW95" s="12" t="n"/>
      <c r="AX95" s="12" t="n"/>
      <c r="AY95" s="12" t="n"/>
      <c r="AZ95" s="12" t="n"/>
      <c r="BA95" s="12" t="n"/>
      <c r="BB95" s="12" t="n"/>
      <c r="BC95" s="12" t="n"/>
      <c r="BD95" s="12" t="n"/>
      <c r="BE95" s="12" t="n"/>
      <c r="BF95" s="12" t="n"/>
      <c r="BG95" s="12" t="n"/>
      <c r="BH95" s="12" t="n"/>
      <c r="BI95" s="12" t="n"/>
      <c r="BJ95" s="12" t="n"/>
      <c r="BK95" s="12" t="n"/>
      <c r="BL95" s="12" t="n"/>
      <c r="BM95" s="12" t="n"/>
      <c r="BN95" s="12" t="n"/>
      <c r="BO95" s="12" t="n"/>
      <c r="BP95" s="12" t="n"/>
      <c r="BQ95" s="12" t="n"/>
      <c r="BR95" s="12" t="n"/>
      <c r="BS95" s="12" t="n"/>
      <c r="BT95" s="12" t="n"/>
    </row>
    <row r="96">
      <c r="A96" s="13" t="inlineStr">
        <is>
          <t>4603</t>
        </is>
      </c>
      <c r="B96" s="13" t="inlineStr">
        <is>
          <t>4.6.3</t>
        </is>
      </c>
      <c r="C96" s="14" t="inlineStr">
        <is>
          <t>Implementar la gestión de roles (RF-01.3)</t>
        </is>
      </c>
      <c r="D96" s="13" t="inlineStr">
        <is>
          <t>Actividad</t>
        </is>
      </c>
      <c r="E96" s="15" t="inlineStr">
        <is>
          <t>Diego Agudelo</t>
        </is>
      </c>
      <c r="F96" s="15" t="inlineStr">
        <is>
          <t>Diego Agudelo</t>
        </is>
      </c>
      <c r="G96" s="13" t="n">
        <v>4</v>
      </c>
      <c r="H96" s="13">
        <f>IF(D96="Hito",0,J96-I96+1)</f>
        <v/>
      </c>
      <c r="I96" s="16" t="n">
        <v>46337</v>
      </c>
      <c r="J96" s="16" t="n">
        <v>46338</v>
      </c>
      <c r="K96" s="14" t="inlineStr">
        <is>
          <t>4602</t>
        </is>
      </c>
      <c r="L96" s="13" t="inlineStr">
        <is>
          <t>Ciclo TSP 2</t>
        </is>
      </c>
      <c r="M96" s="13" t="inlineStr">
        <is>
          <t>Should</t>
        </is>
      </c>
      <c r="N96" s="19" t="n">
        <v>0</v>
      </c>
      <c r="O96" s="12" t="n"/>
      <c r="P96" s="12" t="n"/>
      <c r="Q96" s="12" t="n"/>
      <c r="R96" s="12" t="n"/>
      <c r="S96" s="12" t="n"/>
      <c r="T96" s="12" t="n"/>
      <c r="U96" s="12" t="n"/>
      <c r="V96" s="12" t="n"/>
      <c r="W96" s="12" t="n"/>
      <c r="X96" s="12" t="n"/>
      <c r="Y96" s="12" t="n"/>
      <c r="Z96" s="12" t="n"/>
      <c r="AA96" s="12" t="n"/>
      <c r="AB96" s="12" t="n"/>
      <c r="AC96" s="12" t="n"/>
      <c r="AD96" s="12" t="n"/>
      <c r="AE96" s="12" t="n"/>
      <c r="AF96" s="12" t="n"/>
      <c r="AG96" s="12" t="n"/>
      <c r="AH96" s="12" t="n"/>
      <c r="AI96" s="12" t="n"/>
      <c r="AJ96" s="12" t="n"/>
      <c r="AK96" s="12" t="n"/>
      <c r="AL96" s="12" t="n"/>
      <c r="AM96" s="12" t="n"/>
      <c r="AN96" s="12" t="n"/>
      <c r="AO96" s="12" t="n"/>
      <c r="AP96" s="12" t="n"/>
      <c r="AQ96" s="12" t="n"/>
      <c r="AR96" s="12" t="n"/>
      <c r="AS96" s="12" t="n"/>
      <c r="AT96" s="12" t="n"/>
      <c r="AU96" s="12" t="n"/>
      <c r="AV96" s="12" t="n"/>
      <c r="AW96" s="12" t="n"/>
      <c r="AX96" s="12" t="n"/>
      <c r="AY96" s="12" t="n"/>
      <c r="AZ96" s="12" t="n"/>
      <c r="BA96" s="12" t="n"/>
      <c r="BB96" s="12" t="n"/>
      <c r="BC96" s="12" t="n"/>
      <c r="BD96" s="12" t="n"/>
      <c r="BE96" s="12" t="n"/>
      <c r="BF96" s="12" t="n"/>
      <c r="BG96" s="12" t="n"/>
      <c r="BH96" s="12" t="n"/>
      <c r="BI96" s="12" t="n"/>
      <c r="BJ96" s="12" t="n"/>
      <c r="BK96" s="12" t="n"/>
      <c r="BL96" s="12" t="n"/>
      <c r="BM96" s="12" t="n"/>
      <c r="BN96" s="12" t="n"/>
      <c r="BO96" s="12" t="n"/>
      <c r="BP96" s="12" t="n"/>
      <c r="BQ96" s="12" t="n"/>
      <c r="BR96" s="12" t="n"/>
      <c r="BS96" s="12" t="n"/>
      <c r="BT96" s="12" t="n"/>
    </row>
    <row r="97">
      <c r="A97" s="13" t="inlineStr">
        <is>
          <t>4609</t>
        </is>
      </c>
      <c r="B97" s="13" t="inlineStr">
        <is>
          <t>4.6.9</t>
        </is>
      </c>
      <c r="C97" s="14" t="inlineStr">
        <is>
          <t>Asegurar la compatibilidad con navegadores (RNF-06)</t>
        </is>
      </c>
      <c r="D97" s="13" t="inlineStr">
        <is>
          <t>Actividad</t>
        </is>
      </c>
      <c r="E97" s="15" t="inlineStr">
        <is>
          <t>Diego Agudelo</t>
        </is>
      </c>
      <c r="F97" s="15" t="inlineStr">
        <is>
          <t>Nestor Velasco</t>
        </is>
      </c>
      <c r="G97" s="13" t="n">
        <v>4</v>
      </c>
      <c r="H97" s="13">
        <f>IF(D97="Hito",0,J97-I97+1)</f>
        <v/>
      </c>
      <c r="I97" s="16" t="n">
        <v>46338</v>
      </c>
      <c r="J97" s="16" t="n">
        <v>46339</v>
      </c>
      <c r="K97" s="14" t="inlineStr">
        <is>
          <t>4105</t>
        </is>
      </c>
      <c r="L97" s="13" t="inlineStr">
        <is>
          <t>Ciclo TSP 2</t>
        </is>
      </c>
      <c r="M97" s="13" t="inlineStr">
        <is>
          <t>Must</t>
        </is>
      </c>
      <c r="N97" s="19" t="n">
        <v>0</v>
      </c>
      <c r="O97" s="12" t="n"/>
      <c r="P97" s="12" t="n"/>
      <c r="Q97" s="12" t="n"/>
      <c r="R97" s="12" t="n"/>
      <c r="S97" s="12" t="n"/>
      <c r="T97" s="12" t="n"/>
      <c r="U97" s="12" t="n"/>
      <c r="V97" s="12" t="n"/>
      <c r="W97" s="12" t="n"/>
      <c r="X97" s="12" t="n"/>
      <c r="Y97" s="12" t="n"/>
      <c r="Z97" s="12" t="n"/>
      <c r="AA97" s="12" t="n"/>
      <c r="AB97" s="12" t="n"/>
      <c r="AC97" s="12" t="n"/>
      <c r="AD97" s="12" t="n"/>
      <c r="AE97" s="12" t="n"/>
      <c r="AF97" s="12" t="n"/>
      <c r="AG97" s="12" t="n"/>
      <c r="AH97" s="12" t="n"/>
      <c r="AI97" s="12" t="n"/>
      <c r="AJ97" s="12" t="n"/>
      <c r="AK97" s="12" t="n"/>
      <c r="AL97" s="12" t="n"/>
      <c r="AM97" s="12" t="n"/>
      <c r="AN97" s="12" t="n"/>
      <c r="AO97" s="12" t="n"/>
      <c r="AP97" s="12" t="n"/>
      <c r="AQ97" s="12" t="n"/>
      <c r="AR97" s="12" t="n"/>
      <c r="AS97" s="12" t="n"/>
      <c r="AT97" s="12" t="n"/>
      <c r="AU97" s="12" t="n"/>
      <c r="AV97" s="12" t="n"/>
      <c r="AW97" s="12" t="n"/>
      <c r="AX97" s="12" t="n"/>
      <c r="AY97" s="12" t="n"/>
      <c r="AZ97" s="12" t="n"/>
      <c r="BA97" s="12" t="n"/>
      <c r="BB97" s="12" t="n"/>
      <c r="BC97" s="12" t="n"/>
      <c r="BD97" s="12" t="n"/>
      <c r="BE97" s="12" t="n"/>
      <c r="BF97" s="12" t="n"/>
      <c r="BG97" s="12" t="n"/>
      <c r="BH97" s="12" t="n"/>
      <c r="BI97" s="12" t="n"/>
      <c r="BJ97" s="12" t="n"/>
      <c r="BK97" s="12" t="n"/>
      <c r="BL97" s="12" t="n"/>
      <c r="BM97" s="12" t="n"/>
      <c r="BN97" s="12" t="n"/>
      <c r="BO97" s="12" t="n"/>
      <c r="BP97" s="12" t="n"/>
      <c r="BQ97" s="12" t="n"/>
      <c r="BR97" s="12" t="n"/>
      <c r="BS97" s="12" t="n"/>
      <c r="BT97" s="12" t="n"/>
    </row>
    <row r="98">
      <c r="A98" s="13" t="inlineStr">
        <is>
          <t>4607</t>
        </is>
      </c>
      <c r="B98" s="13" t="inlineStr">
        <is>
          <t>4.6.7</t>
        </is>
      </c>
      <c r="C98" s="14" t="inlineStr">
        <is>
          <t>Implementar el restablecimiento de 2FA por el administrador (RF-01.7)</t>
        </is>
      </c>
      <c r="D98" s="13" t="inlineStr">
        <is>
          <t>Actividad</t>
        </is>
      </c>
      <c r="E98" s="15" t="inlineStr">
        <is>
          <t>Diego Agudelo</t>
        </is>
      </c>
      <c r="F98" s="15" t="inlineStr">
        <is>
          <t>Diego Agudelo</t>
        </is>
      </c>
      <c r="G98" s="13" t="n">
        <v>3</v>
      </c>
      <c r="H98" s="13">
        <f>IF(D98="Hito",0,J98-I98+1)</f>
        <v/>
      </c>
      <c r="I98" s="16" t="n">
        <v>46339</v>
      </c>
      <c r="J98" s="16" t="n">
        <v>46339</v>
      </c>
      <c r="K98" s="14" t="inlineStr">
        <is>
          <t>4606</t>
        </is>
      </c>
      <c r="L98" s="13" t="inlineStr">
        <is>
          <t>Ciclo TSP 2</t>
        </is>
      </c>
      <c r="M98" s="13" t="inlineStr">
        <is>
          <t>Should</t>
        </is>
      </c>
      <c r="N98" s="19" t="n">
        <v>0</v>
      </c>
      <c r="O98" s="12" t="n"/>
      <c r="P98" s="12" t="n"/>
      <c r="Q98" s="12" t="n"/>
      <c r="R98" s="12" t="n"/>
      <c r="S98" s="12" t="n"/>
      <c r="T98" s="12" t="n"/>
      <c r="U98" s="12" t="n"/>
      <c r="V98" s="12" t="n"/>
      <c r="W98" s="12" t="n"/>
      <c r="X98" s="12" t="n"/>
      <c r="Y98" s="12" t="n"/>
      <c r="Z98" s="12" t="n"/>
      <c r="AA98" s="12" t="n"/>
      <c r="AB98" s="12" t="n"/>
      <c r="AC98" s="12" t="n"/>
      <c r="AD98" s="12" t="n"/>
      <c r="AE98" s="12" t="n"/>
      <c r="AF98" s="12" t="n"/>
      <c r="AG98" s="12" t="n"/>
      <c r="AH98" s="12" t="n"/>
      <c r="AI98" s="12" t="n"/>
      <c r="AJ98" s="12" t="n"/>
      <c r="AK98" s="12" t="n"/>
      <c r="AL98" s="12" t="n"/>
      <c r="AM98" s="12" t="n"/>
      <c r="AN98" s="12" t="n"/>
      <c r="AO98" s="12" t="n"/>
      <c r="AP98" s="12" t="n"/>
      <c r="AQ98" s="12" t="n"/>
      <c r="AR98" s="12" t="n"/>
      <c r="AS98" s="12" t="n"/>
      <c r="AT98" s="12" t="n"/>
      <c r="AU98" s="12" t="n"/>
      <c r="AV98" s="12" t="n"/>
      <c r="AW98" s="12" t="n"/>
      <c r="AX98" s="12" t="n"/>
      <c r="AY98" s="12" t="n"/>
      <c r="AZ98" s="12" t="n"/>
      <c r="BA98" s="12" t="n"/>
      <c r="BB98" s="12" t="n"/>
      <c r="BC98" s="12" t="n"/>
      <c r="BD98" s="12" t="n"/>
      <c r="BE98" s="12" t="n"/>
      <c r="BF98" s="12" t="n"/>
      <c r="BG98" s="12" t="n"/>
      <c r="BH98" s="12" t="n"/>
      <c r="BI98" s="12" t="n"/>
      <c r="BJ98" s="12" t="n"/>
      <c r="BK98" s="12" t="n"/>
      <c r="BL98" s="12" t="n"/>
      <c r="BM98" s="12" t="n"/>
      <c r="BN98" s="12" t="n"/>
      <c r="BO98" s="12" t="n"/>
      <c r="BP98" s="12" t="n"/>
      <c r="BQ98" s="12" t="n"/>
      <c r="BR98" s="12" t="n"/>
      <c r="BS98" s="12" t="n"/>
      <c r="BT98" s="12" t="n"/>
    </row>
    <row r="99">
      <c r="A99" s="13" t="inlineStr">
        <is>
          <t>4608</t>
        </is>
      </c>
      <c r="B99" s="13" t="inlineStr">
        <is>
          <t>4.6.8</t>
        </is>
      </c>
      <c r="C99" s="14" t="inlineStr">
        <is>
          <t>Optimizar la carga de pantallas (RNF-04)</t>
        </is>
      </c>
      <c r="D99" s="13" t="inlineStr">
        <is>
          <t>Actividad</t>
        </is>
      </c>
      <c r="E99" s="15" t="inlineStr">
        <is>
          <t>Diego Agudelo</t>
        </is>
      </c>
      <c r="F99" s="15" t="inlineStr">
        <is>
          <t>Diego Agudelo</t>
        </is>
      </c>
      <c r="G99" s="13" t="n">
        <v>4</v>
      </c>
      <c r="H99" s="13">
        <f>IF(D99="Hito",0,J99-I99+1)</f>
        <v/>
      </c>
      <c r="I99" s="16" t="n">
        <v>46345</v>
      </c>
      <c r="J99" s="16" t="n">
        <v>46346</v>
      </c>
      <c r="K99" s="14" t="inlineStr">
        <is>
          <t>4503</t>
        </is>
      </c>
      <c r="L99" s="13" t="inlineStr">
        <is>
          <t>Ciclo TSP 3</t>
        </is>
      </c>
      <c r="M99" s="13" t="inlineStr">
        <is>
          <t>Should</t>
        </is>
      </c>
      <c r="N99" s="19" t="n">
        <v>0</v>
      </c>
      <c r="O99" s="12" t="n"/>
      <c r="P99" s="12" t="n"/>
      <c r="Q99" s="12" t="n"/>
      <c r="R99" s="12" t="n"/>
      <c r="S99" s="12" t="n"/>
      <c r="T99" s="12" t="n"/>
      <c r="U99" s="12" t="n"/>
      <c r="V99" s="12" t="n"/>
      <c r="W99" s="12" t="n"/>
      <c r="X99" s="12" t="n"/>
      <c r="Y99" s="12" t="n"/>
      <c r="Z99" s="12" t="n"/>
      <c r="AA99" s="12" t="n"/>
      <c r="AB99" s="12" t="n"/>
      <c r="AC99" s="12" t="n"/>
      <c r="AD99" s="12" t="n"/>
      <c r="AE99" s="12" t="n"/>
      <c r="AF99" s="12" t="n"/>
      <c r="AG99" s="12" t="n"/>
      <c r="AH99" s="12" t="n"/>
      <c r="AI99" s="12" t="n"/>
      <c r="AJ99" s="12" t="n"/>
      <c r="AK99" s="12" t="n"/>
      <c r="AL99" s="12" t="n"/>
      <c r="AM99" s="12" t="n"/>
      <c r="AN99" s="12" t="n"/>
      <c r="AO99" s="12" t="n"/>
      <c r="AP99" s="12" t="n"/>
      <c r="AQ99" s="12" t="n"/>
      <c r="AR99" s="12" t="n"/>
      <c r="AS99" s="12" t="n"/>
      <c r="AT99" s="12" t="n"/>
      <c r="AU99" s="12" t="n"/>
      <c r="AV99" s="12" t="n"/>
      <c r="AW99" s="12" t="n"/>
      <c r="AX99" s="12" t="n"/>
      <c r="AY99" s="12" t="n"/>
      <c r="AZ99" s="12" t="n"/>
      <c r="BA99" s="12" t="n"/>
      <c r="BB99" s="12" t="n"/>
      <c r="BC99" s="12" t="n"/>
      <c r="BD99" s="12" t="n"/>
      <c r="BE99" s="12" t="n"/>
      <c r="BF99" s="12" t="n"/>
      <c r="BG99" s="12" t="n"/>
      <c r="BH99" s="12" t="n"/>
      <c r="BI99" s="12" t="n"/>
      <c r="BJ99" s="12" t="n"/>
      <c r="BK99" s="12" t="n"/>
      <c r="BL99" s="12" t="n"/>
      <c r="BM99" s="12" t="n"/>
      <c r="BN99" s="12" t="n"/>
      <c r="BO99" s="12" t="n"/>
      <c r="BP99" s="12" t="n"/>
      <c r="BQ99" s="12" t="n"/>
      <c r="BR99" s="12" t="n"/>
      <c r="BS99" s="12" t="n"/>
      <c r="BT99" s="12" t="n"/>
    </row>
    <row r="100">
      <c r="A100" s="13" t="inlineStr">
        <is>
          <t>4613</t>
        </is>
      </c>
      <c r="B100" s="13" t="inlineStr">
        <is>
          <t>4.6.13</t>
        </is>
      </c>
      <c r="C100" s="14" t="inlineStr">
        <is>
          <t>Configurar el monitoreo de disponibilidad (RNF-11)</t>
        </is>
      </c>
      <c r="D100" s="13" t="inlineStr">
        <is>
          <t>Actividad</t>
        </is>
      </c>
      <c r="E100" s="15" t="inlineStr">
        <is>
          <t>Diego Agudelo</t>
        </is>
      </c>
      <c r="F100" s="15" t="inlineStr">
        <is>
          <t>Cristian Cruz</t>
        </is>
      </c>
      <c r="G100" s="13" t="n">
        <v>3</v>
      </c>
      <c r="H100" s="13">
        <f>IF(D100="Hito",0,J100-I100+1)</f>
        <v/>
      </c>
      <c r="I100" s="16" t="n">
        <v>46346</v>
      </c>
      <c r="J100" s="16" t="n">
        <v>46346</v>
      </c>
      <c r="K100" s="14" t="inlineStr">
        <is>
          <t>4612</t>
        </is>
      </c>
      <c r="L100" s="13" t="inlineStr">
        <is>
          <t>Ciclo TSP 3</t>
        </is>
      </c>
      <c r="M100" s="13" t="inlineStr">
        <is>
          <t>Should</t>
        </is>
      </c>
      <c r="N100" s="19" t="n">
        <v>0</v>
      </c>
      <c r="O100" s="12" t="n"/>
      <c r="P100" s="12" t="n"/>
      <c r="Q100" s="12" t="n"/>
      <c r="R100" s="12" t="n"/>
      <c r="S100" s="12" t="n"/>
      <c r="T100" s="12" t="n"/>
      <c r="U100" s="12" t="n"/>
      <c r="V100" s="12" t="n"/>
      <c r="W100" s="12" t="n"/>
      <c r="X100" s="12" t="n"/>
      <c r="Y100" s="12" t="n"/>
      <c r="Z100" s="12" t="n"/>
      <c r="AA100" s="12" t="n"/>
      <c r="AB100" s="12" t="n"/>
      <c r="AC100" s="12" t="n"/>
      <c r="AD100" s="12" t="n"/>
      <c r="AE100" s="12" t="n"/>
      <c r="AF100" s="12" t="n"/>
      <c r="AG100" s="12" t="n"/>
      <c r="AH100" s="12" t="n"/>
      <c r="AI100" s="12" t="n"/>
      <c r="AJ100" s="12" t="n"/>
      <c r="AK100" s="12" t="n"/>
      <c r="AL100" s="12" t="n"/>
      <c r="AM100" s="12" t="n"/>
      <c r="AN100" s="12" t="n"/>
      <c r="AO100" s="12" t="n"/>
      <c r="AP100" s="12" t="n"/>
      <c r="AQ100" s="12" t="n"/>
      <c r="AR100" s="12" t="n"/>
      <c r="AS100" s="12" t="n"/>
      <c r="AT100" s="12" t="n"/>
      <c r="AU100" s="12" t="n"/>
      <c r="AV100" s="12" t="n"/>
      <c r="AW100" s="12" t="n"/>
      <c r="AX100" s="12" t="n"/>
      <c r="AY100" s="12" t="n"/>
      <c r="AZ100" s="12" t="n"/>
      <c r="BA100" s="12" t="n"/>
      <c r="BB100" s="12" t="n"/>
      <c r="BC100" s="12" t="n"/>
      <c r="BD100" s="12" t="n"/>
      <c r="BE100" s="12" t="n"/>
      <c r="BF100" s="12" t="n"/>
      <c r="BG100" s="12" t="n"/>
      <c r="BH100" s="12" t="n"/>
      <c r="BI100" s="12" t="n"/>
      <c r="BJ100" s="12" t="n"/>
      <c r="BK100" s="12" t="n"/>
      <c r="BL100" s="12" t="n"/>
      <c r="BM100" s="12" t="n"/>
      <c r="BN100" s="12" t="n"/>
      <c r="BO100" s="12" t="n"/>
      <c r="BP100" s="12" t="n"/>
      <c r="BQ100" s="12" t="n"/>
      <c r="BR100" s="12" t="n"/>
      <c r="BS100" s="12" t="n"/>
      <c r="BT100" s="12" t="n"/>
    </row>
    <row r="101">
      <c r="A101" s="7" t="inlineStr"/>
      <c r="B101" s="7" t="inlineStr"/>
      <c r="C101" s="8" t="inlineStr">
        <is>
          <t>PRUEBAS</t>
        </is>
      </c>
      <c r="D101" s="7" t="inlineStr">
        <is>
          <t>Fase</t>
        </is>
      </c>
      <c r="E101" s="9" t="inlineStr"/>
      <c r="F101" s="9" t="inlineStr"/>
      <c r="G101" s="7">
        <f>SUM(G102:G106)</f>
        <v/>
      </c>
      <c r="H101" s="7">
        <f>IF(D101="Hito",0,J101-I101+1)</f>
        <v/>
      </c>
      <c r="I101" s="10">
        <f>MIN(I102:I106)</f>
        <v/>
      </c>
      <c r="J101" s="10">
        <f>MAX(J102:J106)</f>
        <v/>
      </c>
      <c r="K101" s="8" t="inlineStr"/>
      <c r="L101" s="7" t="inlineStr"/>
      <c r="M101" s="7" t="inlineStr"/>
      <c r="N101" s="11">
        <f>IFERROR(SUMPRODUCT(G102:G106,N102:N106)/SUM(G102:G106),0)</f>
        <v/>
      </c>
      <c r="O101" s="12" t="n"/>
      <c r="P101" s="12" t="n"/>
      <c r="Q101" s="12" t="n"/>
      <c r="R101" s="12" t="n"/>
      <c r="S101" s="12" t="n"/>
      <c r="T101" s="12" t="n"/>
      <c r="U101" s="12" t="n"/>
      <c r="V101" s="12" t="n"/>
      <c r="W101" s="12" t="n"/>
      <c r="X101" s="12" t="n"/>
      <c r="Y101" s="12" t="n"/>
      <c r="Z101" s="12" t="n"/>
      <c r="AA101" s="12" t="n"/>
      <c r="AB101" s="12" t="n"/>
      <c r="AC101" s="12" t="n"/>
      <c r="AD101" s="12" t="n"/>
      <c r="AE101" s="12" t="n"/>
      <c r="AF101" s="12" t="n"/>
      <c r="AG101" s="12" t="n"/>
      <c r="AH101" s="12" t="n"/>
      <c r="AI101" s="12" t="n"/>
      <c r="AJ101" s="12" t="n"/>
      <c r="AK101" s="12" t="n"/>
      <c r="AL101" s="12" t="n"/>
      <c r="AM101" s="12" t="n"/>
      <c r="AN101" s="12" t="n"/>
      <c r="AO101" s="12" t="n"/>
      <c r="AP101" s="12" t="n"/>
      <c r="AQ101" s="12" t="n"/>
      <c r="AR101" s="12" t="n"/>
      <c r="AS101" s="12" t="n"/>
      <c r="AT101" s="12" t="n"/>
      <c r="AU101" s="12" t="n"/>
      <c r="AV101" s="12" t="n"/>
      <c r="AW101" s="12" t="n"/>
      <c r="AX101" s="12" t="n"/>
      <c r="AY101" s="12" t="n"/>
      <c r="AZ101" s="12" t="n"/>
      <c r="BA101" s="12" t="n"/>
      <c r="BB101" s="12" t="n"/>
      <c r="BC101" s="12" t="n"/>
      <c r="BD101" s="12" t="n"/>
      <c r="BE101" s="12" t="n"/>
      <c r="BF101" s="12" t="n"/>
      <c r="BG101" s="12" t="n"/>
      <c r="BH101" s="12" t="n"/>
      <c r="BI101" s="12" t="n"/>
      <c r="BJ101" s="12" t="n"/>
      <c r="BK101" s="12" t="n"/>
      <c r="BL101" s="12" t="n"/>
      <c r="BM101" s="12" t="n"/>
      <c r="BN101" s="12" t="n"/>
      <c r="BO101" s="12" t="n"/>
      <c r="BP101" s="12" t="n"/>
      <c r="BQ101" s="12" t="n"/>
      <c r="BR101" s="12" t="n"/>
      <c r="BS101" s="12" t="n"/>
      <c r="BT101" s="12" t="n"/>
    </row>
    <row r="102">
      <c r="A102" s="13" t="inlineStr">
        <is>
          <t>5101</t>
        </is>
      </c>
      <c r="B102" s="13" t="inlineStr">
        <is>
          <t>5.1</t>
        </is>
      </c>
      <c r="C102" s="14" t="inlineStr">
        <is>
          <t>Ejecutar las pruebas unitarias y de integración</t>
        </is>
      </c>
      <c r="D102" s="13" t="inlineStr">
        <is>
          <t>Actividad</t>
        </is>
      </c>
      <c r="E102" s="15" t="inlineStr">
        <is>
          <t>Nestor Velasco</t>
        </is>
      </c>
      <c r="F102" s="15" t="inlineStr">
        <is>
          <t>Nestor Velasco</t>
        </is>
      </c>
      <c r="G102" s="13" t="n">
        <v>12</v>
      </c>
      <c r="H102" s="13">
        <f>IF(D102="Hito",0,J102-I102+1)</f>
        <v/>
      </c>
      <c r="I102" s="16" t="n">
        <v>46314</v>
      </c>
      <c r="J102" s="16" t="n">
        <v>46348</v>
      </c>
      <c r="K102" s="14" t="inlineStr">
        <is>
          <t>H08</t>
        </is>
      </c>
      <c r="L102" s="13" t="inlineStr">
        <is>
          <t>Continuo</t>
        </is>
      </c>
      <c r="M102" s="13" t="inlineStr">
        <is>
          <t>—</t>
        </is>
      </c>
      <c r="N102" s="19" t="n">
        <v>0</v>
      </c>
      <c r="O102" s="12" t="n"/>
      <c r="P102" s="12" t="n"/>
      <c r="Q102" s="12" t="n"/>
      <c r="R102" s="12" t="n"/>
      <c r="S102" s="12" t="n"/>
      <c r="T102" s="12" t="n"/>
      <c r="U102" s="12" t="n"/>
      <c r="V102" s="12" t="n"/>
      <c r="W102" s="12" t="n"/>
      <c r="X102" s="12" t="n"/>
      <c r="Y102" s="12" t="n"/>
      <c r="Z102" s="12" t="n"/>
      <c r="AA102" s="12" t="n"/>
      <c r="AB102" s="12" t="n"/>
      <c r="AC102" s="12" t="n"/>
      <c r="AD102" s="12" t="n"/>
      <c r="AE102" s="12" t="n"/>
      <c r="AF102" s="12" t="n"/>
      <c r="AG102" s="12" t="n"/>
      <c r="AH102" s="12" t="n"/>
      <c r="AI102" s="12" t="n"/>
      <c r="AJ102" s="12" t="n"/>
      <c r="AK102" s="12" t="n"/>
      <c r="AL102" s="12" t="n"/>
      <c r="AM102" s="12" t="n"/>
      <c r="AN102" s="12" t="n"/>
      <c r="AO102" s="12" t="n"/>
      <c r="AP102" s="12" t="n"/>
      <c r="AQ102" s="12" t="n"/>
      <c r="AR102" s="12" t="n"/>
      <c r="AS102" s="12" t="n"/>
      <c r="AT102" s="12" t="n"/>
      <c r="AU102" s="12" t="n"/>
      <c r="AV102" s="12" t="n"/>
      <c r="AW102" s="12" t="n"/>
      <c r="AX102" s="12" t="n"/>
      <c r="AY102" s="12" t="n"/>
      <c r="AZ102" s="12" t="n"/>
      <c r="BA102" s="12" t="n"/>
      <c r="BB102" s="12" t="n"/>
      <c r="BC102" s="12" t="n"/>
      <c r="BD102" s="12" t="n"/>
      <c r="BE102" s="12" t="n"/>
      <c r="BF102" s="12" t="n"/>
      <c r="BG102" s="12" t="n"/>
      <c r="BH102" s="12" t="n"/>
      <c r="BI102" s="12" t="n"/>
      <c r="BJ102" s="12" t="n"/>
      <c r="BK102" s="12" t="n"/>
      <c r="BL102" s="12" t="n"/>
      <c r="BM102" s="12" t="n"/>
      <c r="BN102" s="12" t="n"/>
      <c r="BO102" s="12" t="n"/>
      <c r="BP102" s="12" t="n"/>
      <c r="BQ102" s="12" t="n"/>
      <c r="BR102" s="12" t="n"/>
      <c r="BS102" s="12" t="n"/>
      <c r="BT102" s="12" t="n"/>
    </row>
    <row r="103">
      <c r="A103" s="13" t="inlineStr">
        <is>
          <t>5201</t>
        </is>
      </c>
      <c r="B103" s="13" t="inlineStr">
        <is>
          <t>5.2</t>
        </is>
      </c>
      <c r="C103" s="14" t="inlineStr">
        <is>
          <t>Ejecutar las pruebas funcionales</t>
        </is>
      </c>
      <c r="D103" s="13" t="inlineStr">
        <is>
          <t>Actividad</t>
        </is>
      </c>
      <c r="E103" s="15" t="inlineStr">
        <is>
          <t>Nestor Velasco</t>
        </is>
      </c>
      <c r="F103" s="15" t="inlineStr">
        <is>
          <t>Nestor Velasco</t>
        </is>
      </c>
      <c r="G103" s="13" t="n">
        <v>16</v>
      </c>
      <c r="H103" s="13">
        <f>IF(D103="Hito",0,J103-I103+1)</f>
        <v/>
      </c>
      <c r="I103" s="16" t="n">
        <v>46342</v>
      </c>
      <c r="J103" s="16" t="n">
        <v>46347</v>
      </c>
      <c r="K103" s="14" t="inlineStr">
        <is>
          <t>H10</t>
        </is>
      </c>
      <c r="L103" s="13" t="inlineStr">
        <is>
          <t>Ciclo TSP 3</t>
        </is>
      </c>
      <c r="M103" s="13" t="inlineStr">
        <is>
          <t>—</t>
        </is>
      </c>
      <c r="N103" s="19" t="n">
        <v>0</v>
      </c>
      <c r="O103" s="12" t="n"/>
      <c r="P103" s="12" t="n"/>
      <c r="Q103" s="12" t="n"/>
      <c r="R103" s="12" t="n"/>
      <c r="S103" s="12" t="n"/>
      <c r="T103" s="12" t="n"/>
      <c r="U103" s="12" t="n"/>
      <c r="V103" s="12" t="n"/>
      <c r="W103" s="12" t="n"/>
      <c r="X103" s="12" t="n"/>
      <c r="Y103" s="12" t="n"/>
      <c r="Z103" s="12" t="n"/>
      <c r="AA103" s="12" t="n"/>
      <c r="AB103" s="12" t="n"/>
      <c r="AC103" s="12" t="n"/>
      <c r="AD103" s="12" t="n"/>
      <c r="AE103" s="12" t="n"/>
      <c r="AF103" s="12" t="n"/>
      <c r="AG103" s="12" t="n"/>
      <c r="AH103" s="12" t="n"/>
      <c r="AI103" s="12" t="n"/>
      <c r="AJ103" s="12" t="n"/>
      <c r="AK103" s="12" t="n"/>
      <c r="AL103" s="12" t="n"/>
      <c r="AM103" s="12" t="n"/>
      <c r="AN103" s="12" t="n"/>
      <c r="AO103" s="12" t="n"/>
      <c r="AP103" s="12" t="n"/>
      <c r="AQ103" s="12" t="n"/>
      <c r="AR103" s="12" t="n"/>
      <c r="AS103" s="12" t="n"/>
      <c r="AT103" s="12" t="n"/>
      <c r="AU103" s="12" t="n"/>
      <c r="AV103" s="12" t="n"/>
      <c r="AW103" s="12" t="n"/>
      <c r="AX103" s="12" t="n"/>
      <c r="AY103" s="12" t="n"/>
      <c r="AZ103" s="12" t="n"/>
      <c r="BA103" s="12" t="n"/>
      <c r="BB103" s="12" t="n"/>
      <c r="BC103" s="12" t="n"/>
      <c r="BD103" s="12" t="n"/>
      <c r="BE103" s="12" t="n"/>
      <c r="BF103" s="12" t="n"/>
      <c r="BG103" s="12" t="n"/>
      <c r="BH103" s="12" t="n"/>
      <c r="BI103" s="12" t="n"/>
      <c r="BJ103" s="12" t="n"/>
      <c r="BK103" s="12" t="n"/>
      <c r="BL103" s="12" t="n"/>
      <c r="BM103" s="12" t="n"/>
      <c r="BN103" s="12" t="n"/>
      <c r="BO103" s="12" t="n"/>
      <c r="BP103" s="12" t="n"/>
      <c r="BQ103" s="12" t="n"/>
      <c r="BR103" s="12" t="n"/>
      <c r="BS103" s="12" t="n"/>
      <c r="BT103" s="12" t="n"/>
    </row>
    <row r="104">
      <c r="A104" s="13" t="inlineStr">
        <is>
          <t>5401</t>
        </is>
      </c>
      <c r="B104" s="13" t="inlineStr">
        <is>
          <t>5.4</t>
        </is>
      </c>
      <c r="C104" s="14" t="inlineStr">
        <is>
          <t>Realizar las pruebas de usabilidad (SUS)</t>
        </is>
      </c>
      <c r="D104" s="13" t="inlineStr">
        <is>
          <t>Actividad</t>
        </is>
      </c>
      <c r="E104" s="15" t="inlineStr">
        <is>
          <t>Nestor Velasco</t>
        </is>
      </c>
      <c r="F104" s="15" t="inlineStr">
        <is>
          <t>Emmanuel Ospina</t>
        </is>
      </c>
      <c r="G104" s="13" t="n">
        <v>8</v>
      </c>
      <c r="H104" s="13">
        <f>IF(D104="Hito",0,J104-I104+1)</f>
        <v/>
      </c>
      <c r="I104" s="16" t="n">
        <v>46342</v>
      </c>
      <c r="J104" s="16" t="n">
        <v>46344</v>
      </c>
      <c r="K104" s="14" t="inlineStr">
        <is>
          <t>H10</t>
        </is>
      </c>
      <c r="L104" s="13" t="inlineStr">
        <is>
          <t>Ciclo TSP 3</t>
        </is>
      </c>
      <c r="M104" s="13" t="inlineStr">
        <is>
          <t>—</t>
        </is>
      </c>
      <c r="N104" s="19" t="n">
        <v>0</v>
      </c>
      <c r="O104" s="12" t="n"/>
      <c r="P104" s="12" t="n"/>
      <c r="Q104" s="12" t="n"/>
      <c r="R104" s="12" t="n"/>
      <c r="S104" s="12" t="n"/>
      <c r="T104" s="12" t="n"/>
      <c r="U104" s="12" t="n"/>
      <c r="V104" s="12" t="n"/>
      <c r="W104" s="12" t="n"/>
      <c r="X104" s="12" t="n"/>
      <c r="Y104" s="12" t="n"/>
      <c r="Z104" s="12" t="n"/>
      <c r="AA104" s="12" t="n"/>
      <c r="AB104" s="12" t="n"/>
      <c r="AC104" s="12" t="n"/>
      <c r="AD104" s="12" t="n"/>
      <c r="AE104" s="12" t="n"/>
      <c r="AF104" s="12" t="n"/>
      <c r="AG104" s="12" t="n"/>
      <c r="AH104" s="12" t="n"/>
      <c r="AI104" s="12" t="n"/>
      <c r="AJ104" s="12" t="n"/>
      <c r="AK104" s="12" t="n"/>
      <c r="AL104" s="12" t="n"/>
      <c r="AM104" s="12" t="n"/>
      <c r="AN104" s="12" t="n"/>
      <c r="AO104" s="12" t="n"/>
      <c r="AP104" s="12" t="n"/>
      <c r="AQ104" s="12" t="n"/>
      <c r="AR104" s="12" t="n"/>
      <c r="AS104" s="12" t="n"/>
      <c r="AT104" s="12" t="n"/>
      <c r="AU104" s="12" t="n"/>
      <c r="AV104" s="12" t="n"/>
      <c r="AW104" s="12" t="n"/>
      <c r="AX104" s="12" t="n"/>
      <c r="AY104" s="12" t="n"/>
      <c r="AZ104" s="12" t="n"/>
      <c r="BA104" s="12" t="n"/>
      <c r="BB104" s="12" t="n"/>
      <c r="BC104" s="12" t="n"/>
      <c r="BD104" s="12" t="n"/>
      <c r="BE104" s="12" t="n"/>
      <c r="BF104" s="12" t="n"/>
      <c r="BG104" s="12" t="n"/>
      <c r="BH104" s="12" t="n"/>
      <c r="BI104" s="12" t="n"/>
      <c r="BJ104" s="12" t="n"/>
      <c r="BK104" s="12" t="n"/>
      <c r="BL104" s="12" t="n"/>
      <c r="BM104" s="12" t="n"/>
      <c r="BN104" s="12" t="n"/>
      <c r="BO104" s="12" t="n"/>
      <c r="BP104" s="12" t="n"/>
      <c r="BQ104" s="12" t="n"/>
      <c r="BR104" s="12" t="n"/>
      <c r="BS104" s="12" t="n"/>
      <c r="BT104" s="12" t="n"/>
    </row>
    <row r="105">
      <c r="A105" s="13" t="inlineStr">
        <is>
          <t>5301</t>
        </is>
      </c>
      <c r="B105" s="13" t="inlineStr">
        <is>
          <t>5.3</t>
        </is>
      </c>
      <c r="C105" s="14" t="inlineStr">
        <is>
          <t>Ejecutar las pruebas de rendimiento</t>
        </is>
      </c>
      <c r="D105" s="13" t="inlineStr">
        <is>
          <t>Actividad</t>
        </is>
      </c>
      <c r="E105" s="15" t="inlineStr">
        <is>
          <t>Nestor Velasco</t>
        </is>
      </c>
      <c r="F105" s="15" t="inlineStr">
        <is>
          <t>Cristian Cruz</t>
        </is>
      </c>
      <c r="G105" s="13" t="n">
        <v>6</v>
      </c>
      <c r="H105" s="13">
        <f>IF(D105="Hito",0,J105-I105+1)</f>
        <v/>
      </c>
      <c r="I105" s="16" t="n">
        <v>46344</v>
      </c>
      <c r="J105" s="16" t="n">
        <v>46345</v>
      </c>
      <c r="K105" s="14" t="inlineStr">
        <is>
          <t>H10</t>
        </is>
      </c>
      <c r="L105" s="13" t="inlineStr">
        <is>
          <t>Ciclo TSP 3</t>
        </is>
      </c>
      <c r="M105" s="13" t="inlineStr">
        <is>
          <t>—</t>
        </is>
      </c>
      <c r="N105" s="19" t="n">
        <v>0</v>
      </c>
      <c r="O105" s="12" t="n"/>
      <c r="P105" s="12" t="n"/>
      <c r="Q105" s="12" t="n"/>
      <c r="R105" s="12" t="n"/>
      <c r="S105" s="12" t="n"/>
      <c r="T105" s="12" t="n"/>
      <c r="U105" s="12" t="n"/>
      <c r="V105" s="12" t="n"/>
      <c r="W105" s="12" t="n"/>
      <c r="X105" s="12" t="n"/>
      <c r="Y105" s="12" t="n"/>
      <c r="Z105" s="12" t="n"/>
      <c r="AA105" s="12" t="n"/>
      <c r="AB105" s="12" t="n"/>
      <c r="AC105" s="12" t="n"/>
      <c r="AD105" s="12" t="n"/>
      <c r="AE105" s="12" t="n"/>
      <c r="AF105" s="12" t="n"/>
      <c r="AG105" s="12" t="n"/>
      <c r="AH105" s="12" t="n"/>
      <c r="AI105" s="12" t="n"/>
      <c r="AJ105" s="12" t="n"/>
      <c r="AK105" s="12" t="n"/>
      <c r="AL105" s="12" t="n"/>
      <c r="AM105" s="12" t="n"/>
      <c r="AN105" s="12" t="n"/>
      <c r="AO105" s="12" t="n"/>
      <c r="AP105" s="12" t="n"/>
      <c r="AQ105" s="12" t="n"/>
      <c r="AR105" s="12" t="n"/>
      <c r="AS105" s="12" t="n"/>
      <c r="AT105" s="12" t="n"/>
      <c r="AU105" s="12" t="n"/>
      <c r="AV105" s="12" t="n"/>
      <c r="AW105" s="12" t="n"/>
      <c r="AX105" s="12" t="n"/>
      <c r="AY105" s="12" t="n"/>
      <c r="AZ105" s="12" t="n"/>
      <c r="BA105" s="12" t="n"/>
      <c r="BB105" s="12" t="n"/>
      <c r="BC105" s="12" t="n"/>
      <c r="BD105" s="12" t="n"/>
      <c r="BE105" s="12" t="n"/>
      <c r="BF105" s="12" t="n"/>
      <c r="BG105" s="12" t="n"/>
      <c r="BH105" s="12" t="n"/>
      <c r="BI105" s="12" t="n"/>
      <c r="BJ105" s="12" t="n"/>
      <c r="BK105" s="12" t="n"/>
      <c r="BL105" s="12" t="n"/>
      <c r="BM105" s="12" t="n"/>
      <c r="BN105" s="12" t="n"/>
      <c r="BO105" s="12" t="n"/>
      <c r="BP105" s="12" t="n"/>
      <c r="BQ105" s="12" t="n"/>
      <c r="BR105" s="12" t="n"/>
      <c r="BS105" s="12" t="n"/>
      <c r="BT105" s="12" t="n"/>
    </row>
    <row r="106">
      <c r="A106" s="13" t="inlineStr">
        <is>
          <t>5202</t>
        </is>
      </c>
      <c r="B106" s="13" t="inlineStr">
        <is>
          <t>5.2</t>
        </is>
      </c>
      <c r="C106" s="14" t="inlineStr">
        <is>
          <t>Corregir los defectos encontrados en las pruebas</t>
        </is>
      </c>
      <c r="D106" s="13" t="inlineStr">
        <is>
          <t>Actividad</t>
        </is>
      </c>
      <c r="E106" s="15" t="inlineStr">
        <is>
          <t>Diego Agudelo</t>
        </is>
      </c>
      <c r="F106" s="15" t="inlineStr">
        <is>
          <t>Jahan Chará</t>
        </is>
      </c>
      <c r="G106" s="13" t="n">
        <v>8</v>
      </c>
      <c r="H106" s="13">
        <f>IF(D106="Hito",0,J106-I106+1)</f>
        <v/>
      </c>
      <c r="I106" s="16" t="n">
        <v>46348</v>
      </c>
      <c r="J106" s="16" t="n">
        <v>46350</v>
      </c>
      <c r="K106" s="14" t="inlineStr">
        <is>
          <t>5201</t>
        </is>
      </c>
      <c r="L106" s="13" t="inlineStr">
        <is>
          <t>Ciclo TSP 3</t>
        </is>
      </c>
      <c r="M106" s="13" t="inlineStr">
        <is>
          <t>—</t>
        </is>
      </c>
      <c r="N106" s="19" t="n">
        <v>0</v>
      </c>
      <c r="O106" s="12" t="n"/>
      <c r="P106" s="12" t="n"/>
      <c r="Q106" s="12" t="n"/>
      <c r="R106" s="12" t="n"/>
      <c r="S106" s="12" t="n"/>
      <c r="T106" s="12" t="n"/>
      <c r="U106" s="12" t="n"/>
      <c r="V106" s="12" t="n"/>
      <c r="W106" s="12" t="n"/>
      <c r="X106" s="12" t="n"/>
      <c r="Y106" s="12" t="n"/>
      <c r="Z106" s="12" t="n"/>
      <c r="AA106" s="12" t="n"/>
      <c r="AB106" s="12" t="n"/>
      <c r="AC106" s="12" t="n"/>
      <c r="AD106" s="12" t="n"/>
      <c r="AE106" s="12" t="n"/>
      <c r="AF106" s="12" t="n"/>
      <c r="AG106" s="12" t="n"/>
      <c r="AH106" s="12" t="n"/>
      <c r="AI106" s="12" t="n"/>
      <c r="AJ106" s="12" t="n"/>
      <c r="AK106" s="12" t="n"/>
      <c r="AL106" s="12" t="n"/>
      <c r="AM106" s="12" t="n"/>
      <c r="AN106" s="12" t="n"/>
      <c r="AO106" s="12" t="n"/>
      <c r="AP106" s="12" t="n"/>
      <c r="AQ106" s="12" t="n"/>
      <c r="AR106" s="12" t="n"/>
      <c r="AS106" s="12" t="n"/>
      <c r="AT106" s="12" t="n"/>
      <c r="AU106" s="12" t="n"/>
      <c r="AV106" s="12" t="n"/>
      <c r="AW106" s="12" t="n"/>
      <c r="AX106" s="12" t="n"/>
      <c r="AY106" s="12" t="n"/>
      <c r="AZ106" s="12" t="n"/>
      <c r="BA106" s="12" t="n"/>
      <c r="BB106" s="12" t="n"/>
      <c r="BC106" s="12" t="n"/>
      <c r="BD106" s="12" t="n"/>
      <c r="BE106" s="12" t="n"/>
      <c r="BF106" s="12" t="n"/>
      <c r="BG106" s="12" t="n"/>
      <c r="BH106" s="12" t="n"/>
      <c r="BI106" s="12" t="n"/>
      <c r="BJ106" s="12" t="n"/>
      <c r="BK106" s="12" t="n"/>
      <c r="BL106" s="12" t="n"/>
      <c r="BM106" s="12" t="n"/>
      <c r="BN106" s="12" t="n"/>
      <c r="BO106" s="12" t="n"/>
      <c r="BP106" s="12" t="n"/>
      <c r="BQ106" s="12" t="n"/>
      <c r="BR106" s="12" t="n"/>
      <c r="BS106" s="12" t="n"/>
      <c r="BT106" s="12" t="n"/>
    </row>
    <row r="107">
      <c r="A107" s="7" t="inlineStr"/>
      <c r="B107" s="7" t="inlineStr"/>
      <c r="C107" s="8" t="inlineStr">
        <is>
          <t>CIERRE</t>
        </is>
      </c>
      <c r="D107" s="7" t="inlineStr">
        <is>
          <t>Fase</t>
        </is>
      </c>
      <c r="E107" s="9" t="inlineStr"/>
      <c r="F107" s="9" t="inlineStr"/>
      <c r="G107" s="7">
        <f>SUM(G108:G111)</f>
        <v/>
      </c>
      <c r="H107" s="7">
        <f>IF(D107="Hito",0,J107-I107+1)</f>
        <v/>
      </c>
      <c r="I107" s="10">
        <f>MIN(I108:I111)</f>
        <v/>
      </c>
      <c r="J107" s="10">
        <f>MAX(J108:J111)</f>
        <v/>
      </c>
      <c r="K107" s="8" t="inlineStr"/>
      <c r="L107" s="7" t="inlineStr"/>
      <c r="M107" s="7" t="inlineStr"/>
      <c r="N107" s="11">
        <f>IFERROR(SUMPRODUCT(G108:G111,N108:N111)/SUM(G108:G111),0)</f>
        <v/>
      </c>
      <c r="O107" s="12" t="n"/>
      <c r="P107" s="12" t="n"/>
      <c r="Q107" s="12" t="n"/>
      <c r="R107" s="12" t="n"/>
      <c r="S107" s="12" t="n"/>
      <c r="T107" s="12" t="n"/>
      <c r="U107" s="12" t="n"/>
      <c r="V107" s="12" t="n"/>
      <c r="W107" s="12" t="n"/>
      <c r="X107" s="12" t="n"/>
      <c r="Y107" s="12" t="n"/>
      <c r="Z107" s="12" t="n"/>
      <c r="AA107" s="12" t="n"/>
      <c r="AB107" s="12" t="n"/>
      <c r="AC107" s="12" t="n"/>
      <c r="AD107" s="12" t="n"/>
      <c r="AE107" s="12" t="n"/>
      <c r="AF107" s="12" t="n"/>
      <c r="AG107" s="12" t="n"/>
      <c r="AH107" s="12" t="n"/>
      <c r="AI107" s="12" t="n"/>
      <c r="AJ107" s="12" t="n"/>
      <c r="AK107" s="12" t="n"/>
      <c r="AL107" s="12" t="n"/>
      <c r="AM107" s="12" t="n"/>
      <c r="AN107" s="12" t="n"/>
      <c r="AO107" s="12" t="n"/>
      <c r="AP107" s="12" t="n"/>
      <c r="AQ107" s="12" t="n"/>
      <c r="AR107" s="12" t="n"/>
      <c r="AS107" s="12" t="n"/>
      <c r="AT107" s="12" t="n"/>
      <c r="AU107" s="12" t="n"/>
      <c r="AV107" s="12" t="n"/>
      <c r="AW107" s="12" t="n"/>
      <c r="AX107" s="12" t="n"/>
      <c r="AY107" s="12" t="n"/>
      <c r="AZ107" s="12" t="n"/>
      <c r="BA107" s="12" t="n"/>
      <c r="BB107" s="12" t="n"/>
      <c r="BC107" s="12" t="n"/>
      <c r="BD107" s="12" t="n"/>
      <c r="BE107" s="12" t="n"/>
      <c r="BF107" s="12" t="n"/>
      <c r="BG107" s="12" t="n"/>
      <c r="BH107" s="12" t="n"/>
      <c r="BI107" s="12" t="n"/>
      <c r="BJ107" s="12" t="n"/>
      <c r="BK107" s="12" t="n"/>
      <c r="BL107" s="12" t="n"/>
      <c r="BM107" s="12" t="n"/>
      <c r="BN107" s="12" t="n"/>
      <c r="BO107" s="12" t="n"/>
      <c r="BP107" s="12" t="n"/>
      <c r="BQ107" s="12" t="n"/>
      <c r="BR107" s="12" t="n"/>
      <c r="BS107" s="12" t="n"/>
      <c r="BT107" s="12" t="n"/>
    </row>
    <row r="108">
      <c r="A108" s="13" t="inlineStr">
        <is>
          <t>1401</t>
        </is>
      </c>
      <c r="B108" s="13" t="inlineStr">
        <is>
          <t>1.4.2</t>
        </is>
      </c>
      <c r="C108" s="14" t="inlineStr">
        <is>
          <t>Documentar las lecciones aprendidas</t>
        </is>
      </c>
      <c r="D108" s="13" t="inlineStr">
        <is>
          <t>Actividad</t>
        </is>
      </c>
      <c r="E108" s="15" t="inlineStr">
        <is>
          <t>Cristian Cruz</t>
        </is>
      </c>
      <c r="F108" s="15" t="inlineStr">
        <is>
          <t>Nestor Velasco</t>
        </is>
      </c>
      <c r="G108" s="13" t="n">
        <v>4</v>
      </c>
      <c r="H108" s="13">
        <f>IF(D108="Hito",0,J108-I108+1)</f>
        <v/>
      </c>
      <c r="I108" s="16" t="n">
        <v>46349</v>
      </c>
      <c r="J108" s="16" t="n">
        <v>46350</v>
      </c>
      <c r="K108" s="14" t="inlineStr">
        <is>
          <t>H11</t>
        </is>
      </c>
      <c r="L108" s="13" t="inlineStr">
        <is>
          <t>Cierre</t>
        </is>
      </c>
      <c r="M108" s="13" t="inlineStr">
        <is>
          <t>—</t>
        </is>
      </c>
      <c r="N108" s="19" t="n">
        <v>0</v>
      </c>
      <c r="O108" s="12" t="n"/>
      <c r="P108" s="12" t="n"/>
      <c r="Q108" s="12" t="n"/>
      <c r="R108" s="12" t="n"/>
      <c r="S108" s="12" t="n"/>
      <c r="T108" s="12" t="n"/>
      <c r="U108" s="12" t="n"/>
      <c r="V108" s="12" t="n"/>
      <c r="W108" s="12" t="n"/>
      <c r="X108" s="12" t="n"/>
      <c r="Y108" s="12" t="n"/>
      <c r="Z108" s="12" t="n"/>
      <c r="AA108" s="12" t="n"/>
      <c r="AB108" s="12" t="n"/>
      <c r="AC108" s="12" t="n"/>
      <c r="AD108" s="12" t="n"/>
      <c r="AE108" s="12" t="n"/>
      <c r="AF108" s="12" t="n"/>
      <c r="AG108" s="12" t="n"/>
      <c r="AH108" s="12" t="n"/>
      <c r="AI108" s="12" t="n"/>
      <c r="AJ108" s="12" t="n"/>
      <c r="AK108" s="12" t="n"/>
      <c r="AL108" s="12" t="n"/>
      <c r="AM108" s="12" t="n"/>
      <c r="AN108" s="12" t="n"/>
      <c r="AO108" s="12" t="n"/>
      <c r="AP108" s="12" t="n"/>
      <c r="AQ108" s="12" t="n"/>
      <c r="AR108" s="12" t="n"/>
      <c r="AS108" s="12" t="n"/>
      <c r="AT108" s="12" t="n"/>
      <c r="AU108" s="12" t="n"/>
      <c r="AV108" s="12" t="n"/>
      <c r="AW108" s="12" t="n"/>
      <c r="AX108" s="12" t="n"/>
      <c r="AY108" s="12" t="n"/>
      <c r="AZ108" s="12" t="n"/>
      <c r="BA108" s="12" t="n"/>
      <c r="BB108" s="12" t="n"/>
      <c r="BC108" s="12" t="n"/>
      <c r="BD108" s="12" t="n"/>
      <c r="BE108" s="12" t="n"/>
      <c r="BF108" s="12" t="n"/>
      <c r="BG108" s="12" t="n"/>
      <c r="BH108" s="12" t="n"/>
      <c r="BI108" s="12" t="n"/>
      <c r="BJ108" s="12" t="n"/>
      <c r="BK108" s="12" t="n"/>
      <c r="BL108" s="12" t="n"/>
      <c r="BM108" s="12" t="n"/>
      <c r="BN108" s="12" t="n"/>
      <c r="BO108" s="12" t="n"/>
      <c r="BP108" s="12" t="n"/>
      <c r="BQ108" s="12" t="n"/>
      <c r="BR108" s="12" t="n"/>
      <c r="BS108" s="12" t="n"/>
      <c r="BT108" s="12" t="n"/>
    </row>
    <row r="109">
      <c r="A109" s="13" t="inlineStr">
        <is>
          <t>1402</t>
        </is>
      </c>
      <c r="B109" s="13" t="inlineStr">
        <is>
          <t>1.4.3</t>
        </is>
      </c>
      <c r="C109" s="14" t="inlineStr">
        <is>
          <t>Elaborar el informe final y la demostración</t>
        </is>
      </c>
      <c r="D109" s="13" t="inlineStr">
        <is>
          <t>Actividad</t>
        </is>
      </c>
      <c r="E109" s="15" t="inlineStr">
        <is>
          <t>Cristian Cruz</t>
        </is>
      </c>
      <c r="F109" s="15" t="inlineStr">
        <is>
          <t>Cristian Cruz</t>
        </is>
      </c>
      <c r="G109" s="13" t="n">
        <v>6</v>
      </c>
      <c r="H109" s="13">
        <f>IF(D109="Hito",0,J109-I109+1)</f>
        <v/>
      </c>
      <c r="I109" s="16" t="n">
        <v>46349</v>
      </c>
      <c r="J109" s="16" t="n">
        <v>46350</v>
      </c>
      <c r="K109" s="14" t="inlineStr">
        <is>
          <t>H11</t>
        </is>
      </c>
      <c r="L109" s="13" t="inlineStr">
        <is>
          <t>Cierre</t>
        </is>
      </c>
      <c r="M109" s="13" t="inlineStr">
        <is>
          <t>—</t>
        </is>
      </c>
      <c r="N109" s="19" t="n">
        <v>0</v>
      </c>
      <c r="O109" s="12" t="n"/>
      <c r="P109" s="12" t="n"/>
      <c r="Q109" s="12" t="n"/>
      <c r="R109" s="12" t="n"/>
      <c r="S109" s="12" t="n"/>
      <c r="T109" s="12" t="n"/>
      <c r="U109" s="12" t="n"/>
      <c r="V109" s="12" t="n"/>
      <c r="W109" s="12" t="n"/>
      <c r="X109" s="12" t="n"/>
      <c r="Y109" s="12" t="n"/>
      <c r="Z109" s="12" t="n"/>
      <c r="AA109" s="12" t="n"/>
      <c r="AB109" s="12" t="n"/>
      <c r="AC109" s="12" t="n"/>
      <c r="AD109" s="12" t="n"/>
      <c r="AE109" s="12" t="n"/>
      <c r="AF109" s="12" t="n"/>
      <c r="AG109" s="12" t="n"/>
      <c r="AH109" s="12" t="n"/>
      <c r="AI109" s="12" t="n"/>
      <c r="AJ109" s="12" t="n"/>
      <c r="AK109" s="12" t="n"/>
      <c r="AL109" s="12" t="n"/>
      <c r="AM109" s="12" t="n"/>
      <c r="AN109" s="12" t="n"/>
      <c r="AO109" s="12" t="n"/>
      <c r="AP109" s="12" t="n"/>
      <c r="AQ109" s="12" t="n"/>
      <c r="AR109" s="12" t="n"/>
      <c r="AS109" s="12" t="n"/>
      <c r="AT109" s="12" t="n"/>
      <c r="AU109" s="12" t="n"/>
      <c r="AV109" s="12" t="n"/>
      <c r="AW109" s="12" t="n"/>
      <c r="AX109" s="12" t="n"/>
      <c r="AY109" s="12" t="n"/>
      <c r="AZ109" s="12" t="n"/>
      <c r="BA109" s="12" t="n"/>
      <c r="BB109" s="12" t="n"/>
      <c r="BC109" s="12" t="n"/>
      <c r="BD109" s="12" t="n"/>
      <c r="BE109" s="12" t="n"/>
      <c r="BF109" s="12" t="n"/>
      <c r="BG109" s="12" t="n"/>
      <c r="BH109" s="12" t="n"/>
      <c r="BI109" s="12" t="n"/>
      <c r="BJ109" s="12" t="n"/>
      <c r="BK109" s="12" t="n"/>
      <c r="BL109" s="12" t="n"/>
      <c r="BM109" s="12" t="n"/>
      <c r="BN109" s="12" t="n"/>
      <c r="BO109" s="12" t="n"/>
      <c r="BP109" s="12" t="n"/>
      <c r="BQ109" s="12" t="n"/>
      <c r="BR109" s="12" t="n"/>
      <c r="BS109" s="12" t="n"/>
      <c r="BT109" s="12" t="n"/>
    </row>
    <row r="110">
      <c r="A110" s="13" t="inlineStr">
        <is>
          <t>1404</t>
        </is>
      </c>
      <c r="B110" s="13" t="inlineStr">
        <is>
          <t>1.4.3</t>
        </is>
      </c>
      <c r="C110" s="14" t="inlineStr">
        <is>
          <t>Publicar la versión 1.0</t>
        </is>
      </c>
      <c r="D110" s="13" t="inlineStr">
        <is>
          <t>Actividad</t>
        </is>
      </c>
      <c r="E110" s="15" t="inlineStr">
        <is>
          <t>Cristian Cruz</t>
        </is>
      </c>
      <c r="F110" s="15" t="inlineStr">
        <is>
          <t>Diego Agudelo</t>
        </is>
      </c>
      <c r="G110" s="13" t="n">
        <v>3</v>
      </c>
      <c r="H110" s="13">
        <f>IF(D110="Hito",0,J110-I110+1)</f>
        <v/>
      </c>
      <c r="I110" s="16" t="n">
        <v>46351</v>
      </c>
      <c r="J110" s="16" t="n">
        <v>46351</v>
      </c>
      <c r="K110" s="14" t="inlineStr">
        <is>
          <t>H11, 5202</t>
        </is>
      </c>
      <c r="L110" s="13" t="inlineStr">
        <is>
          <t>Cierre</t>
        </is>
      </c>
      <c r="M110" s="13" t="inlineStr">
        <is>
          <t>—</t>
        </is>
      </c>
      <c r="N110" s="19" t="n">
        <v>0</v>
      </c>
      <c r="O110" s="12" t="n"/>
      <c r="P110" s="12" t="n"/>
      <c r="Q110" s="12" t="n"/>
      <c r="R110" s="12" t="n"/>
      <c r="S110" s="12" t="n"/>
      <c r="T110" s="12" t="n"/>
      <c r="U110" s="12" t="n"/>
      <c r="V110" s="12" t="n"/>
      <c r="W110" s="12" t="n"/>
      <c r="X110" s="12" t="n"/>
      <c r="Y110" s="12" t="n"/>
      <c r="Z110" s="12" t="n"/>
      <c r="AA110" s="12" t="n"/>
      <c r="AB110" s="12" t="n"/>
      <c r="AC110" s="12" t="n"/>
      <c r="AD110" s="12" t="n"/>
      <c r="AE110" s="12" t="n"/>
      <c r="AF110" s="12" t="n"/>
      <c r="AG110" s="12" t="n"/>
      <c r="AH110" s="12" t="n"/>
      <c r="AI110" s="12" t="n"/>
      <c r="AJ110" s="12" t="n"/>
      <c r="AK110" s="12" t="n"/>
      <c r="AL110" s="12" t="n"/>
      <c r="AM110" s="12" t="n"/>
      <c r="AN110" s="12" t="n"/>
      <c r="AO110" s="12" t="n"/>
      <c r="AP110" s="12" t="n"/>
      <c r="AQ110" s="12" t="n"/>
      <c r="AR110" s="12" t="n"/>
      <c r="AS110" s="12" t="n"/>
      <c r="AT110" s="12" t="n"/>
      <c r="AU110" s="12" t="n"/>
      <c r="AV110" s="12" t="n"/>
      <c r="AW110" s="12" t="n"/>
      <c r="AX110" s="12" t="n"/>
      <c r="AY110" s="12" t="n"/>
      <c r="AZ110" s="12" t="n"/>
      <c r="BA110" s="12" t="n"/>
      <c r="BB110" s="12" t="n"/>
      <c r="BC110" s="12" t="n"/>
      <c r="BD110" s="12" t="n"/>
      <c r="BE110" s="12" t="n"/>
      <c r="BF110" s="12" t="n"/>
      <c r="BG110" s="12" t="n"/>
      <c r="BH110" s="12" t="n"/>
      <c r="BI110" s="12" t="n"/>
      <c r="BJ110" s="12" t="n"/>
      <c r="BK110" s="12" t="n"/>
      <c r="BL110" s="12" t="n"/>
      <c r="BM110" s="12" t="n"/>
      <c r="BN110" s="12" t="n"/>
      <c r="BO110" s="12" t="n"/>
      <c r="BP110" s="12" t="n"/>
      <c r="BQ110" s="12" t="n"/>
      <c r="BR110" s="12" t="n"/>
      <c r="BS110" s="12" t="n"/>
      <c r="BT110" s="12" t="n"/>
    </row>
    <row r="111">
      <c r="A111" s="13" t="inlineStr">
        <is>
          <t>1403</t>
        </is>
      </c>
      <c r="B111" s="13" t="inlineStr">
        <is>
          <t>1.4.1</t>
        </is>
      </c>
      <c r="C111" s="14" t="inlineStr">
        <is>
          <t>Elaborar el acta de cierre</t>
        </is>
      </c>
      <c r="D111" s="13" t="inlineStr">
        <is>
          <t>Actividad</t>
        </is>
      </c>
      <c r="E111" s="15" t="inlineStr">
        <is>
          <t>Cristian Cruz</t>
        </is>
      </c>
      <c r="F111" s="15" t="inlineStr">
        <is>
          <t>Emmanuel Ospina</t>
        </is>
      </c>
      <c r="G111" s="13" t="n">
        <v>2</v>
      </c>
      <c r="H111" s="13">
        <f>IF(D111="Hito",0,J111-I111+1)</f>
        <v/>
      </c>
      <c r="I111" s="16" t="n">
        <v>46352</v>
      </c>
      <c r="J111" s="16" t="n">
        <v>46352</v>
      </c>
      <c r="K111" s="14" t="inlineStr">
        <is>
          <t>1401, 1402, 1404</t>
        </is>
      </c>
      <c r="L111" s="13" t="inlineStr">
        <is>
          <t>Cierre</t>
        </is>
      </c>
      <c r="M111" s="13" t="inlineStr">
        <is>
          <t>—</t>
        </is>
      </c>
      <c r="N111" s="19" t="n">
        <v>0</v>
      </c>
      <c r="O111" s="12" t="n"/>
      <c r="P111" s="12" t="n"/>
      <c r="Q111" s="12" t="n"/>
      <c r="R111" s="12" t="n"/>
      <c r="S111" s="12" t="n"/>
      <c r="T111" s="12" t="n"/>
      <c r="U111" s="12" t="n"/>
      <c r="V111" s="12" t="n"/>
      <c r="W111" s="12" t="n"/>
      <c r="X111" s="12" t="n"/>
      <c r="Y111" s="12" t="n"/>
      <c r="Z111" s="12" t="n"/>
      <c r="AA111" s="12" t="n"/>
      <c r="AB111" s="12" t="n"/>
      <c r="AC111" s="12" t="n"/>
      <c r="AD111" s="12" t="n"/>
      <c r="AE111" s="12" t="n"/>
      <c r="AF111" s="12" t="n"/>
      <c r="AG111" s="12" t="n"/>
      <c r="AH111" s="12" t="n"/>
      <c r="AI111" s="12" t="n"/>
      <c r="AJ111" s="12" t="n"/>
      <c r="AK111" s="12" t="n"/>
      <c r="AL111" s="12" t="n"/>
      <c r="AM111" s="12" t="n"/>
      <c r="AN111" s="12" t="n"/>
      <c r="AO111" s="12" t="n"/>
      <c r="AP111" s="12" t="n"/>
      <c r="AQ111" s="12" t="n"/>
      <c r="AR111" s="12" t="n"/>
      <c r="AS111" s="12" t="n"/>
      <c r="AT111" s="12" t="n"/>
      <c r="AU111" s="12" t="n"/>
      <c r="AV111" s="12" t="n"/>
      <c r="AW111" s="12" t="n"/>
      <c r="AX111" s="12" t="n"/>
      <c r="AY111" s="12" t="n"/>
      <c r="AZ111" s="12" t="n"/>
      <c r="BA111" s="12" t="n"/>
      <c r="BB111" s="12" t="n"/>
      <c r="BC111" s="12" t="n"/>
      <c r="BD111" s="12" t="n"/>
      <c r="BE111" s="12" t="n"/>
      <c r="BF111" s="12" t="n"/>
      <c r="BG111" s="12" t="n"/>
      <c r="BH111" s="12" t="n"/>
      <c r="BI111" s="12" t="n"/>
      <c r="BJ111" s="12" t="n"/>
      <c r="BK111" s="12" t="n"/>
      <c r="BL111" s="12" t="n"/>
      <c r="BM111" s="12" t="n"/>
      <c r="BN111" s="12" t="n"/>
      <c r="BO111" s="12" t="n"/>
      <c r="BP111" s="12" t="n"/>
      <c r="BQ111" s="12" t="n"/>
      <c r="BR111" s="12" t="n"/>
      <c r="BS111" s="12" t="n"/>
      <c r="BT111" s="12" t="n"/>
    </row>
    <row r="112">
      <c r="A112" s="20" t="n"/>
      <c r="B112" s="20" t="n"/>
      <c r="C112" s="21" t="inlineStr">
        <is>
          <t>TOTAL DEL PROYECTO</t>
        </is>
      </c>
      <c r="D112" s="20" t="n"/>
      <c r="E112" s="20" t="n"/>
      <c r="F112" s="20" t="n"/>
      <c r="G112" s="21">
        <f>SUMIF(D7:D111,"Actividad",G7:G111)</f>
        <v/>
      </c>
      <c r="H112" s="20">
        <f>J112-I112+1</f>
        <v/>
      </c>
      <c r="I112" s="22">
        <f>MIN(I7:I111)</f>
        <v/>
      </c>
      <c r="J112" s="22">
        <f>MAX(J7:J111)</f>
        <v/>
      </c>
      <c r="K112" s="20" t="n"/>
      <c r="L112" s="20" t="n"/>
      <c r="M112" s="20" t="n"/>
      <c r="N112" s="23">
        <f>IFERROR(SUMPRODUCT((D7:D111="Actividad")*G7:G111*N7:N111)/G112,0)</f>
        <v/>
      </c>
    </row>
    <row r="114">
      <c r="C114" s="2" t="inlineStr">
        <is>
          <t>La barra azul oscuro dentro de cada actividad muestra el avance según el % completado. La columna rosada marca la fecha de hoy.</t>
        </is>
      </c>
    </row>
  </sheetData>
  <autoFilter ref="A6:N111"/>
  <conditionalFormatting sqref="O7:BT111">
    <cfRule type="expression" priority="1" dxfId="0" stopIfTrue="1">
      <formula>AND($D7="Actividad",O$6&gt;=$I7,O$6&lt;=$J7,O$6&lt;$I7+$H7*$N7)</formula>
    </cfRule>
    <cfRule type="expression" priority="2" dxfId="1" stopIfTrue="1">
      <formula>AND($D7="Actividad",O$6&gt;=$I7,O$6&lt;=$J7)</formula>
    </cfRule>
    <cfRule type="expression" priority="3" dxfId="2" stopIfTrue="1">
      <formula>AND($D7="Fase",O$6&gt;=$I7,O$6&lt;=$J7)</formula>
    </cfRule>
    <cfRule type="expression" priority="4" dxfId="3">
      <formula>O$6=TODAY()</formula>
    </cfRule>
  </conditionalFormatting>
  <dataValidations count="1">
    <dataValidation sqref="N7:N111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46" customWidth="1" min="2" max="2"/>
    <col width="13" customWidth="1" min="3" max="3"/>
    <col width="12" customWidth="1" min="4" max="4"/>
    <col width="60" customWidth="1" min="5" max="5"/>
    <col width="28" customWidth="1" min="6" max="6"/>
    <col width="10" customWidth="1" min="7" max="7"/>
  </cols>
  <sheetData>
    <row r="1">
      <c r="A1" s="24" t="inlineStr">
        <is>
          <t>Lista de hitos – GASTRO-SIM</t>
        </is>
      </c>
    </row>
    <row r="3">
      <c r="A3" s="25" t="inlineStr">
        <is>
          <t>N.º</t>
        </is>
      </c>
      <c r="B3" s="25" t="inlineStr">
        <is>
          <t>Hito</t>
        </is>
      </c>
      <c r="C3" s="25" t="inlineStr">
        <is>
          <t>Obligatorio / opcional</t>
        </is>
      </c>
      <c r="D3" s="25" t="inlineStr">
        <is>
          <t>Fecha objetivo</t>
        </is>
      </c>
      <c r="E3" s="25" t="inlineStr">
        <is>
          <t>Verificación (evidencia)</t>
        </is>
      </c>
      <c r="F3" s="25" t="inlineStr">
        <is>
          <t>Se cumple cuando terminan</t>
        </is>
      </c>
      <c r="G3" s="25" t="inlineStr">
        <is>
          <t>Hito del Acta</t>
        </is>
      </c>
    </row>
    <row r="4">
      <c r="A4" s="26" t="inlineStr">
        <is>
          <t>001</t>
        </is>
      </c>
      <c r="B4" s="26" t="inlineStr">
        <is>
          <t>Proyecto iniciado: equipo y roles definidos</t>
        </is>
      </c>
      <c r="C4" s="26" t="inlineStr">
        <is>
          <t>Obligatorio</t>
        </is>
      </c>
      <c r="D4" s="27" t="n">
        <v>46298</v>
      </c>
      <c r="E4" s="26" t="inlineStr">
        <is>
          <t>Registro del equipo ITEVOLUTION y de los roles en Moodle (archivo «Grupo y roles»).</t>
        </is>
      </c>
      <c r="F4" s="26" t="inlineStr"/>
      <c r="G4" s="26" t="inlineStr">
        <is>
          <t>—</t>
        </is>
      </c>
    </row>
    <row r="5">
      <c r="A5" s="26" t="inlineStr">
        <is>
          <t>002</t>
        </is>
      </c>
      <c r="B5" s="26" t="inlineStr">
        <is>
          <t>Acta de Constitución y Matriz de Partes Interesadas entregadas</t>
        </is>
      </c>
      <c r="C5" s="26" t="inlineStr">
        <is>
          <t>Obligatorio</t>
        </is>
      </c>
      <c r="D5" s="27" t="n">
        <v>46301</v>
      </c>
      <c r="E5" s="26" t="inlineStr">
        <is>
          <t>Entrega en Moodle y visto bueno del Propietario del Proyecto.</t>
        </is>
      </c>
      <c r="F5" s="26" t="inlineStr">
        <is>
          <t>1101, 1102</t>
        </is>
      </c>
      <c r="G5" s="26" t="inlineStr">
        <is>
          <t>H1</t>
        </is>
      </c>
    </row>
    <row r="6">
      <c r="A6" s="26" t="inlineStr">
        <is>
          <t>003</t>
        </is>
      </c>
      <c r="B6" s="26" t="inlineStr">
        <is>
          <t>Requisitos aprobados por el Propietario del Proyecto</t>
        </is>
      </c>
      <c r="C6" s="26" t="inlineStr">
        <is>
          <t>Obligatorio</t>
        </is>
      </c>
      <c r="D6" s="27" t="n">
        <v>46306</v>
      </c>
      <c r="E6" s="26" t="inlineStr">
        <is>
          <t>Correo de retroalimentación del Propietario con visto bueno («podrán construir el plan del alcance») y versión v1.3 de los artefactos.</t>
        </is>
      </c>
      <c r="F6" s="26" t="inlineStr">
        <is>
          <t>2101, 2201, 2301</t>
        </is>
      </c>
      <c r="G6" s="26" t="inlineStr">
        <is>
          <t>H2</t>
        </is>
      </c>
    </row>
    <row r="7">
      <c r="A7" s="26" t="inlineStr">
        <is>
          <t>004</t>
        </is>
      </c>
      <c r="B7" s="26" t="inlineStr">
        <is>
          <t>Línea base del alcance y del cronograma establecida (v0.1)</t>
        </is>
      </c>
      <c r="C7" s="26" t="inlineStr">
        <is>
          <t>Obligatorio</t>
        </is>
      </c>
      <c r="D7" s="27" t="n">
        <v>46306</v>
      </c>
      <c r="E7" s="26" t="inlineStr">
        <is>
          <t>Plan de alcance, EDT, plan de cronograma, lista de actividades y lista de hitos entregados en Moodle; etiqueta v0.1 en GitHub.</t>
        </is>
      </c>
      <c r="F7" s="26" t="inlineStr">
        <is>
          <t>1201, 1202, 1203, 1303</t>
        </is>
      </c>
      <c r="G7" s="26" t="inlineStr">
        <is>
          <t>H3</t>
        </is>
      </c>
    </row>
    <row r="8">
      <c r="A8" s="26" t="inlineStr">
        <is>
          <t>005</t>
        </is>
      </c>
      <c r="B8" s="26" t="inlineStr">
        <is>
          <t>Plan de gestión de la calidad entregado</t>
        </is>
      </c>
      <c r="C8" s="26" t="inlineStr">
        <is>
          <t>Obligatorio</t>
        </is>
      </c>
      <c r="D8" s="27" t="n">
        <v>46313</v>
      </c>
      <c r="E8" s="26" t="inlineStr">
        <is>
          <t>Entrega en Moodle y revisión del Propietario.</t>
        </is>
      </c>
      <c r="F8" s="26" t="inlineStr">
        <is>
          <t>1204</t>
        </is>
      </c>
      <c r="G8" s="26" t="inlineStr">
        <is>
          <t>—</t>
        </is>
      </c>
    </row>
    <row r="9">
      <c r="A9" s="26" t="inlineStr">
        <is>
          <t>006</t>
        </is>
      </c>
      <c r="B9" s="26" t="inlineStr">
        <is>
          <t>Prototipo técnico 3D validado</t>
        </is>
      </c>
      <c r="C9" s="28" t="inlineStr">
        <is>
          <t>Opcional</t>
        </is>
      </c>
      <c r="D9" s="27" t="n">
        <v>46316</v>
      </c>
      <c r="E9" s="26" t="inlineStr">
        <is>
          <t>Demostración interna en la reunión TSP: cámara que recorre la ruta y captura un hallazgo de prueba.</t>
        </is>
      </c>
      <c r="F9" s="26" t="inlineStr">
        <is>
          <t>3501</t>
        </is>
      </c>
      <c r="G9" s="26" t="inlineStr">
        <is>
          <t>—</t>
        </is>
      </c>
    </row>
    <row r="10">
      <c r="A10" s="26" t="inlineStr">
        <is>
          <t>007</t>
        </is>
      </c>
      <c r="B10" s="26" t="inlineStr">
        <is>
          <t>Diseño del software completo</t>
        </is>
      </c>
      <c r="C10" s="26" t="inlineStr">
        <is>
          <t>Obligatorio</t>
        </is>
      </c>
      <c r="D10" s="27" t="n">
        <v>46316</v>
      </c>
      <c r="E10" s="26" t="inlineStr">
        <is>
          <t>Documento de diseño revisado por el Proveedor de Soluciones y publicado en el repositorio.</t>
        </is>
      </c>
      <c r="F10" s="26" t="inlineStr">
        <is>
          <t>3101, 3201, 3301, 3401, 3501</t>
        </is>
      </c>
      <c r="G10" s="26" t="inlineStr">
        <is>
          <t>—</t>
        </is>
      </c>
    </row>
    <row r="11">
      <c r="A11" s="26" t="inlineStr">
        <is>
          <t>008</t>
        </is>
      </c>
      <c r="B11" s="26" t="inlineStr">
        <is>
          <t>Versión v0.5 aceptada (fin del ciclo TSP 1)</t>
        </is>
      </c>
      <c r="C11" s="26" t="inlineStr">
        <is>
          <t>Obligatorio</t>
        </is>
      </c>
      <c r="D11" s="27" t="n">
        <v>46320</v>
      </c>
      <c r="E11" s="26" t="inlineStr">
        <is>
          <t>Release v0.5 en GitHub, acta de aceptación firmada por el Propietario y postmortem del ciclo 1.</t>
        </is>
      </c>
      <c r="F11" s="26" t="inlineStr">
        <is>
          <t>4612, 4304, 4601, 4205, 4602, 4605, 4206, 4201…</t>
        </is>
      </c>
      <c r="G11" s="26" t="inlineStr">
        <is>
          <t>H4</t>
        </is>
      </c>
    </row>
    <row r="12">
      <c r="A12" s="26" t="inlineStr">
        <is>
          <t>009</t>
        </is>
      </c>
      <c r="B12" s="26" t="inlineStr">
        <is>
          <t>Primer caso clínico generado por la IA de extremo a extremo</t>
        </is>
      </c>
      <c r="C12" s="28" t="inlineStr">
        <is>
          <t>Opcional</t>
        </is>
      </c>
      <c r="D12" s="27" t="n">
        <v>46334</v>
      </c>
      <c r="E12" s="26" t="inlineStr">
        <is>
          <t>Demostración interna: un caso generado, validado y mostrado en la escena 3D.</t>
        </is>
      </c>
      <c r="F12" s="26" t="inlineStr">
        <is>
          <t>4208, 4104</t>
        </is>
      </c>
      <c r="G12" s="26" t="inlineStr">
        <is>
          <t>—</t>
        </is>
      </c>
    </row>
    <row r="13">
      <c r="A13" s="26" t="inlineStr">
        <is>
          <t>010</t>
        </is>
      </c>
      <c r="B13" s="26" t="inlineStr">
        <is>
          <t>Versión v0.9 aceptada (flujo completo integrado)</t>
        </is>
      </c>
      <c r="C13" s="26" t="inlineStr">
        <is>
          <t>Obligatorio</t>
        </is>
      </c>
      <c r="D13" s="27" t="n">
        <v>46341</v>
      </c>
      <c r="E13" s="26" t="inlineStr">
        <is>
          <t>Release v0.9 en GitHub, acta de aceptación del Propietario y postmortem del ciclo 2.</t>
        </is>
      </c>
      <c r="F13" s="26" t="inlineStr">
        <is>
          <t>4101, 4204, 4207, 4610, 4208, 4501, 4102, 4301…</t>
        </is>
      </c>
      <c r="G13" s="26" t="inlineStr">
        <is>
          <t>H5</t>
        </is>
      </c>
    </row>
    <row r="14">
      <c r="A14" s="26" t="inlineStr">
        <is>
          <t>011</t>
        </is>
      </c>
      <c r="B14" s="26" t="inlineStr">
        <is>
          <t>Pruebas del software completadas</t>
        </is>
      </c>
      <c r="C14" s="26" t="inlineStr">
        <is>
          <t>Obligatorio</t>
        </is>
      </c>
      <c r="D14" s="27" t="n">
        <v>46348</v>
      </c>
      <c r="E14" s="26" t="inlineStr">
        <is>
          <t>Reporte de pruebas funcionales, de rendimiento y de usabilidad (SUS ≥ 68) aprobado por el Tester.</t>
        </is>
      </c>
      <c r="F14" s="26" t="inlineStr">
        <is>
          <t>5101, 5201, 5301, 5401</t>
        </is>
      </c>
      <c r="G14" s="26" t="inlineStr">
        <is>
          <t>H6</t>
        </is>
      </c>
    </row>
    <row r="15">
      <c r="A15" s="26" t="inlineStr">
        <is>
          <t>012</t>
        </is>
      </c>
      <c r="B15" s="26" t="inlineStr">
        <is>
          <t>Versión 1.0 aceptada y demostración realizada</t>
        </is>
      </c>
      <c r="C15" s="26" t="inlineStr">
        <is>
          <t>Obligatorio</t>
        </is>
      </c>
      <c r="D15" s="27" t="n">
        <v>46355</v>
      </c>
      <c r="E15" s="26" t="inlineStr">
        <is>
          <t>Release v1.0 con Docker y README, demostración al Propietario y acta de aceptación final.</t>
        </is>
      </c>
      <c r="F15" s="26" t="inlineStr">
        <is>
          <t>1404, 1402</t>
        </is>
      </c>
      <c r="G15" s="26" t="inlineStr">
        <is>
          <t>H7</t>
        </is>
      </c>
    </row>
    <row r="16">
      <c r="A16" s="26" t="inlineStr">
        <is>
          <t>013</t>
        </is>
      </c>
      <c r="B16" s="26" t="inlineStr">
        <is>
          <t>Proyecto cerrado</t>
        </is>
      </c>
      <c r="C16" s="26" t="inlineStr">
        <is>
          <t>Obligatorio</t>
        </is>
      </c>
      <c r="D16" s="27" t="n">
        <v>46355</v>
      </c>
      <c r="E16" s="26" t="inlineStr">
        <is>
          <t>Acta de cierre firmada, lecciones aprendidas e informe final entregados en Moodle.</t>
        </is>
      </c>
      <c r="F16" s="26" t="inlineStr">
        <is>
          <t>1403, 1401</t>
        </is>
      </c>
      <c r="G16" s="26" t="inlineStr">
        <is>
          <t>H7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</cols>
  <sheetData>
    <row r="1">
      <c r="A1" s="24" t="inlineStr">
        <is>
          <t>Carga de trabajo por persona y semana (horas)</t>
        </is>
      </c>
    </row>
    <row r="2">
      <c r="A2" s="2" t="inlineStr">
        <is>
          <t>Calculada con fórmulas a partir de la hoja «Cronograma (Gantt)»: el esfuerzo de cada actividad se reparte por igual entre sus días. Rojo: más de la dedicación supuesta.</t>
        </is>
      </c>
    </row>
    <row r="3">
      <c r="A3" s="29" t="inlineStr">
        <is>
          <t>Dedicación semanal supuesta (h):</t>
        </is>
      </c>
      <c r="E3" s="30" t="n">
        <v>21</v>
      </c>
    </row>
    <row r="5" ht="30" customHeight="1">
      <c r="A5" s="31" t="inlineStr">
        <is>
          <t>Persona</t>
        </is>
      </c>
      <c r="B5" s="32" t="inlineStr">
        <is>
          <t>Semana 1
12/10–18/10</t>
        </is>
      </c>
      <c r="C5" s="32" t="inlineStr">
        <is>
          <t>Semana 2
19/10–25/10</t>
        </is>
      </c>
      <c r="D5" s="32" t="inlineStr">
        <is>
          <t>Semana 3
26/10–01/11</t>
        </is>
      </c>
      <c r="E5" s="32" t="inlineStr">
        <is>
          <t>Semana 4
02/11–08/11</t>
        </is>
      </c>
      <c r="F5" s="32" t="inlineStr">
        <is>
          <t>Semana 5
09/11–15/11</t>
        </is>
      </c>
      <c r="G5" s="32" t="inlineStr">
        <is>
          <t>Semana 6
16/11–22/11</t>
        </is>
      </c>
      <c r="H5" s="32" t="inlineStr">
        <is>
          <t>Semana 7
23/11–29/11</t>
        </is>
      </c>
      <c r="I5" s="31" t="inlineStr">
        <is>
          <t>Total (h)</t>
        </is>
      </c>
      <c r="J5" s="31" t="inlineStr">
        <is>
          <t>Promedio h/semana</t>
        </is>
      </c>
    </row>
    <row r="6">
      <c r="A6" s="33" t="inlineStr">
        <is>
          <t>Emmanuel Ospina</t>
        </is>
      </c>
      <c r="B6" s="34">
        <f>SUMIF($B$31:$B$108,$A6,C$31:C$108)</f>
        <v/>
      </c>
      <c r="C6" s="34">
        <f>SUMIF($B$31:$B$108,$A6,D$31:D$108)</f>
        <v/>
      </c>
      <c r="D6" s="34">
        <f>SUMIF($B$31:$B$108,$A6,E$31:E$108)</f>
        <v/>
      </c>
      <c r="E6" s="34">
        <f>SUMIF($B$31:$B$108,$A6,F$31:F$108)</f>
        <v/>
      </c>
      <c r="F6" s="34">
        <f>SUMIF($B$31:$B$108,$A6,G$31:G$108)</f>
        <v/>
      </c>
      <c r="G6" s="34">
        <f>SUMIF($B$31:$B$108,$A6,H$31:H$108)</f>
        <v/>
      </c>
      <c r="H6" s="34">
        <f>SUMIF($B$31:$B$108,$A6,I$31:I$108)</f>
        <v/>
      </c>
      <c r="I6" s="35">
        <f>SUM(B6:H6)</f>
        <v/>
      </c>
      <c r="J6" s="34">
        <f>AVERAGE(B6:H6)</f>
        <v/>
      </c>
    </row>
    <row r="7">
      <c r="A7" s="33" t="inlineStr">
        <is>
          <t>Jahan Chará</t>
        </is>
      </c>
      <c r="B7" s="34">
        <f>SUMIF($B$31:$B$108,$A7,C$31:C$108)</f>
        <v/>
      </c>
      <c r="C7" s="34">
        <f>SUMIF($B$31:$B$108,$A7,D$31:D$108)</f>
        <v/>
      </c>
      <c r="D7" s="34">
        <f>SUMIF($B$31:$B$108,$A7,E$31:E$108)</f>
        <v/>
      </c>
      <c r="E7" s="34">
        <f>SUMIF($B$31:$B$108,$A7,F$31:F$108)</f>
        <v/>
      </c>
      <c r="F7" s="34">
        <f>SUMIF($B$31:$B$108,$A7,G$31:G$108)</f>
        <v/>
      </c>
      <c r="G7" s="34">
        <f>SUMIF($B$31:$B$108,$A7,H$31:H$108)</f>
        <v/>
      </c>
      <c r="H7" s="34">
        <f>SUMIF($B$31:$B$108,$A7,I$31:I$108)</f>
        <v/>
      </c>
      <c r="I7" s="35">
        <f>SUM(B7:H7)</f>
        <v/>
      </c>
      <c r="J7" s="34">
        <f>AVERAGE(B7:H7)</f>
        <v/>
      </c>
    </row>
    <row r="8">
      <c r="A8" s="33" t="inlineStr">
        <is>
          <t>Diego Agudelo</t>
        </is>
      </c>
      <c r="B8" s="34">
        <f>SUMIF($B$31:$B$108,$A8,C$31:C$108)</f>
        <v/>
      </c>
      <c r="C8" s="34">
        <f>SUMIF($B$31:$B$108,$A8,D$31:D$108)</f>
        <v/>
      </c>
      <c r="D8" s="34">
        <f>SUMIF($B$31:$B$108,$A8,E$31:E$108)</f>
        <v/>
      </c>
      <c r="E8" s="34">
        <f>SUMIF($B$31:$B$108,$A8,F$31:F$108)</f>
        <v/>
      </c>
      <c r="F8" s="34">
        <f>SUMIF($B$31:$B$108,$A8,G$31:G$108)</f>
        <v/>
      </c>
      <c r="G8" s="34">
        <f>SUMIF($B$31:$B$108,$A8,H$31:H$108)</f>
        <v/>
      </c>
      <c r="H8" s="34">
        <f>SUMIF($B$31:$B$108,$A8,I$31:I$108)</f>
        <v/>
      </c>
      <c r="I8" s="35">
        <f>SUM(B8:H8)</f>
        <v/>
      </c>
      <c r="J8" s="34">
        <f>AVERAGE(B8:H8)</f>
        <v/>
      </c>
    </row>
    <row r="9">
      <c r="A9" s="33" t="inlineStr">
        <is>
          <t>Nestor Velasco</t>
        </is>
      </c>
      <c r="B9" s="34">
        <f>SUMIF($B$31:$B$108,$A9,C$31:C$108)</f>
        <v/>
      </c>
      <c r="C9" s="34">
        <f>SUMIF($B$31:$B$108,$A9,D$31:D$108)</f>
        <v/>
      </c>
      <c r="D9" s="34">
        <f>SUMIF($B$31:$B$108,$A9,E$31:E$108)</f>
        <v/>
      </c>
      <c r="E9" s="34">
        <f>SUMIF($B$31:$B$108,$A9,F$31:F$108)</f>
        <v/>
      </c>
      <c r="F9" s="34">
        <f>SUMIF($B$31:$B$108,$A9,G$31:G$108)</f>
        <v/>
      </c>
      <c r="G9" s="34">
        <f>SUMIF($B$31:$B$108,$A9,H$31:H$108)</f>
        <v/>
      </c>
      <c r="H9" s="34">
        <f>SUMIF($B$31:$B$108,$A9,I$31:I$108)</f>
        <v/>
      </c>
      <c r="I9" s="35">
        <f>SUM(B9:H9)</f>
        <v/>
      </c>
      <c r="J9" s="34">
        <f>AVERAGE(B9:H9)</f>
        <v/>
      </c>
    </row>
    <row r="10">
      <c r="A10" s="33" t="inlineStr">
        <is>
          <t>Cristian Cruz</t>
        </is>
      </c>
      <c r="B10" s="34">
        <f>SUMIF($B$31:$B$108,$A10,C$31:C$108)</f>
        <v/>
      </c>
      <c r="C10" s="34">
        <f>SUMIF($B$31:$B$108,$A10,D$31:D$108)</f>
        <v/>
      </c>
      <c r="D10" s="34">
        <f>SUMIF($B$31:$B$108,$A10,E$31:E$108)</f>
        <v/>
      </c>
      <c r="E10" s="34">
        <f>SUMIF($B$31:$B$108,$A10,F$31:F$108)</f>
        <v/>
      </c>
      <c r="F10" s="34">
        <f>SUMIF($B$31:$B$108,$A10,G$31:G$108)</f>
        <v/>
      </c>
      <c r="G10" s="34">
        <f>SUMIF($B$31:$B$108,$A10,H$31:H$108)</f>
        <v/>
      </c>
      <c r="H10" s="34">
        <f>SUMIF($B$31:$B$108,$A10,I$31:I$108)</f>
        <v/>
      </c>
      <c r="I10" s="35">
        <f>SUM(B10:H10)</f>
        <v/>
      </c>
      <c r="J10" s="34">
        <f>AVERAGE(B10:H10)</f>
        <v/>
      </c>
    </row>
    <row r="11">
      <c r="A11" s="29" t="inlineStr">
        <is>
          <t>Equipo</t>
        </is>
      </c>
      <c r="B11" s="36">
        <f>SUM(B6:B10)</f>
        <v/>
      </c>
      <c r="C11" s="36">
        <f>SUM(C6:C10)</f>
        <v/>
      </c>
      <c r="D11" s="36">
        <f>SUM(D6:D10)</f>
        <v/>
      </c>
      <c r="E11" s="36">
        <f>SUM(E6:E10)</f>
        <v/>
      </c>
      <c r="F11" s="36">
        <f>SUM(F6:F10)</f>
        <v/>
      </c>
      <c r="G11" s="36">
        <f>SUM(G6:G10)</f>
        <v/>
      </c>
      <c r="H11" s="36">
        <f>SUM(H6:H10)</f>
        <v/>
      </c>
      <c r="I11" s="36">
        <f>SUM(I6:I10)</f>
        <v/>
      </c>
    </row>
    <row r="13">
      <c r="A13" s="37" t="inlineStr">
        <is>
          <t>Comparación con el Acta: el Acta supuso cerca de 8 h por persona y semana. Esta tabla muestra la dedicación que exige el cronograma con todo el alcance (Must + Should).</t>
        </is>
      </c>
    </row>
    <row r="28">
      <c r="C28" s="38" t="n">
        <v>46307</v>
      </c>
      <c r="D28" s="38" t="n">
        <v>46314</v>
      </c>
      <c r="E28" s="38" t="n">
        <v>46321</v>
      </c>
      <c r="F28" s="38" t="n">
        <v>46328</v>
      </c>
      <c r="G28" s="38" t="n">
        <v>46335</v>
      </c>
      <c r="H28" s="38" t="n">
        <v>46342</v>
      </c>
      <c r="I28" s="38" t="n">
        <v>46349</v>
      </c>
    </row>
    <row r="29">
      <c r="A29" s="39" t="inlineStr">
        <is>
          <t>Tabla auxiliar: horas de cada actividad por semana</t>
        </is>
      </c>
    </row>
    <row r="30">
      <c r="A30" t="inlineStr">
        <is>
          <t>Fila Gantt</t>
        </is>
      </c>
      <c r="B30" t="inlineStr">
        <is>
          <t>Ejecuta</t>
        </is>
      </c>
      <c r="C30" s="38" t="n">
        <v>46313</v>
      </c>
      <c r="D30" s="38" t="n">
        <v>46320</v>
      </c>
      <c r="E30" s="38" t="n">
        <v>46327</v>
      </c>
      <c r="F30" s="38" t="n">
        <v>46334</v>
      </c>
      <c r="G30" s="38" t="n">
        <v>46341</v>
      </c>
      <c r="H30" s="38" t="n">
        <v>46348</v>
      </c>
      <c r="I30" s="38" t="n">
        <v>46355</v>
      </c>
    </row>
    <row r="31">
      <c r="A31" t="n">
        <v>22</v>
      </c>
      <c r="B31">
        <f>'Cronograma (Gantt)'!F22</f>
        <v/>
      </c>
      <c r="C31" s="40">
        <f>MAX(0,MIN('Cronograma (Gantt)'!$J22,C$30)-MAX('Cronograma (Gantt)'!$I22,C$28)+1)*'Cronograma (Gantt)'!$G22/'Cronograma (Gantt)'!$H22</f>
        <v/>
      </c>
      <c r="D31" s="40">
        <f>MAX(0,MIN('Cronograma (Gantt)'!$J22,D$30)-MAX('Cronograma (Gantt)'!$I22,D$28)+1)*'Cronograma (Gantt)'!$G22/'Cronograma (Gantt)'!$H22</f>
        <v/>
      </c>
      <c r="E31" s="40">
        <f>MAX(0,MIN('Cronograma (Gantt)'!$J22,E$30)-MAX('Cronograma (Gantt)'!$I22,E$28)+1)*'Cronograma (Gantt)'!$G22/'Cronograma (Gantt)'!$H22</f>
        <v/>
      </c>
      <c r="F31" s="40">
        <f>MAX(0,MIN('Cronograma (Gantt)'!$J22,F$30)-MAX('Cronograma (Gantt)'!$I22,F$28)+1)*'Cronograma (Gantt)'!$G22/'Cronograma (Gantt)'!$H22</f>
        <v/>
      </c>
      <c r="G31" s="40">
        <f>MAX(0,MIN('Cronograma (Gantt)'!$J22,G$30)-MAX('Cronograma (Gantt)'!$I22,G$28)+1)*'Cronograma (Gantt)'!$G22/'Cronograma (Gantt)'!$H22</f>
        <v/>
      </c>
      <c r="H31" s="40">
        <f>MAX(0,MIN('Cronograma (Gantt)'!$J22,H$30)-MAX('Cronograma (Gantt)'!$I22,H$28)+1)*'Cronograma (Gantt)'!$G22/'Cronograma (Gantt)'!$H22</f>
        <v/>
      </c>
      <c r="I31" s="40">
        <f>MAX(0,MIN('Cronograma (Gantt)'!$J22,I$30)-MAX('Cronograma (Gantt)'!$I22,I$28)+1)*'Cronograma (Gantt)'!$G22/'Cronograma (Gantt)'!$H22</f>
        <v/>
      </c>
    </row>
    <row r="32">
      <c r="A32" t="n">
        <v>23</v>
      </c>
      <c r="B32">
        <f>'Cronograma (Gantt)'!F23</f>
        <v/>
      </c>
      <c r="C32" s="40">
        <f>MAX(0,MIN('Cronograma (Gantt)'!$J23,C$30)-MAX('Cronograma (Gantt)'!$I23,C$28)+1)*'Cronograma (Gantt)'!$G23/'Cronograma (Gantt)'!$H23</f>
        <v/>
      </c>
      <c r="D32" s="40">
        <f>MAX(0,MIN('Cronograma (Gantt)'!$J23,D$30)-MAX('Cronograma (Gantt)'!$I23,D$28)+1)*'Cronograma (Gantt)'!$G23/'Cronograma (Gantt)'!$H23</f>
        <v/>
      </c>
      <c r="E32" s="40">
        <f>MAX(0,MIN('Cronograma (Gantt)'!$J23,E$30)-MAX('Cronograma (Gantt)'!$I23,E$28)+1)*'Cronograma (Gantt)'!$G23/'Cronograma (Gantt)'!$H23</f>
        <v/>
      </c>
      <c r="F32" s="40">
        <f>MAX(0,MIN('Cronograma (Gantt)'!$J23,F$30)-MAX('Cronograma (Gantt)'!$I23,F$28)+1)*'Cronograma (Gantt)'!$G23/'Cronograma (Gantt)'!$H23</f>
        <v/>
      </c>
      <c r="G32" s="40">
        <f>MAX(0,MIN('Cronograma (Gantt)'!$J23,G$30)-MAX('Cronograma (Gantt)'!$I23,G$28)+1)*'Cronograma (Gantt)'!$G23/'Cronograma (Gantt)'!$H23</f>
        <v/>
      </c>
      <c r="H32" s="40">
        <f>MAX(0,MIN('Cronograma (Gantt)'!$J23,H$30)-MAX('Cronograma (Gantt)'!$I23,H$28)+1)*'Cronograma (Gantt)'!$G23/'Cronograma (Gantt)'!$H23</f>
        <v/>
      </c>
      <c r="I32" s="40">
        <f>MAX(0,MIN('Cronograma (Gantt)'!$J23,I$30)-MAX('Cronograma (Gantt)'!$I23,I$28)+1)*'Cronograma (Gantt)'!$G23/'Cronograma (Gantt)'!$H23</f>
        <v/>
      </c>
    </row>
    <row r="33">
      <c r="A33" t="n">
        <v>25</v>
      </c>
      <c r="B33">
        <f>'Cronograma (Gantt)'!F25</f>
        <v/>
      </c>
      <c r="C33" s="40">
        <f>MAX(0,MIN('Cronograma (Gantt)'!$J25,C$30)-MAX('Cronograma (Gantt)'!$I25,C$28)+1)*'Cronograma (Gantt)'!$G25/'Cronograma (Gantt)'!$H25</f>
        <v/>
      </c>
      <c r="D33" s="40">
        <f>MAX(0,MIN('Cronograma (Gantt)'!$J25,D$30)-MAX('Cronograma (Gantt)'!$I25,D$28)+1)*'Cronograma (Gantt)'!$G25/'Cronograma (Gantt)'!$H25</f>
        <v/>
      </c>
      <c r="E33" s="40">
        <f>MAX(0,MIN('Cronograma (Gantt)'!$J25,E$30)-MAX('Cronograma (Gantt)'!$I25,E$28)+1)*'Cronograma (Gantt)'!$G25/'Cronograma (Gantt)'!$H25</f>
        <v/>
      </c>
      <c r="F33" s="40">
        <f>MAX(0,MIN('Cronograma (Gantt)'!$J25,F$30)-MAX('Cronograma (Gantt)'!$I25,F$28)+1)*'Cronograma (Gantt)'!$G25/'Cronograma (Gantt)'!$H25</f>
        <v/>
      </c>
      <c r="G33" s="40">
        <f>MAX(0,MIN('Cronograma (Gantt)'!$J25,G$30)-MAX('Cronograma (Gantt)'!$I25,G$28)+1)*'Cronograma (Gantt)'!$G25/'Cronograma (Gantt)'!$H25</f>
        <v/>
      </c>
      <c r="H33" s="40">
        <f>MAX(0,MIN('Cronograma (Gantt)'!$J25,H$30)-MAX('Cronograma (Gantt)'!$I25,H$28)+1)*'Cronograma (Gantt)'!$G25/'Cronograma (Gantt)'!$H25</f>
        <v/>
      </c>
      <c r="I33" s="40">
        <f>MAX(0,MIN('Cronograma (Gantt)'!$J25,I$30)-MAX('Cronograma (Gantt)'!$I25,I$28)+1)*'Cronograma (Gantt)'!$G25/'Cronograma (Gantt)'!$H25</f>
        <v/>
      </c>
    </row>
    <row r="34">
      <c r="A34" t="n">
        <v>26</v>
      </c>
      <c r="B34">
        <f>'Cronograma (Gantt)'!F26</f>
        <v/>
      </c>
      <c r="C34" s="40">
        <f>MAX(0,MIN('Cronograma (Gantt)'!$J26,C$30)-MAX('Cronograma (Gantt)'!$I26,C$28)+1)*'Cronograma (Gantt)'!$G26/'Cronograma (Gantt)'!$H26</f>
        <v/>
      </c>
      <c r="D34" s="40">
        <f>MAX(0,MIN('Cronograma (Gantt)'!$J26,D$30)-MAX('Cronograma (Gantt)'!$I26,D$28)+1)*'Cronograma (Gantt)'!$G26/'Cronograma (Gantt)'!$H26</f>
        <v/>
      </c>
      <c r="E34" s="40">
        <f>MAX(0,MIN('Cronograma (Gantt)'!$J26,E$30)-MAX('Cronograma (Gantt)'!$I26,E$28)+1)*'Cronograma (Gantt)'!$G26/'Cronograma (Gantt)'!$H26</f>
        <v/>
      </c>
      <c r="F34" s="40">
        <f>MAX(0,MIN('Cronograma (Gantt)'!$J26,F$30)-MAX('Cronograma (Gantt)'!$I26,F$28)+1)*'Cronograma (Gantt)'!$G26/'Cronograma (Gantt)'!$H26</f>
        <v/>
      </c>
      <c r="G34" s="40">
        <f>MAX(0,MIN('Cronograma (Gantt)'!$J26,G$30)-MAX('Cronograma (Gantt)'!$I26,G$28)+1)*'Cronograma (Gantt)'!$G26/'Cronograma (Gantt)'!$H26</f>
        <v/>
      </c>
      <c r="H34" s="40">
        <f>MAX(0,MIN('Cronograma (Gantt)'!$J26,H$30)-MAX('Cronograma (Gantt)'!$I26,H$28)+1)*'Cronograma (Gantt)'!$G26/'Cronograma (Gantt)'!$H26</f>
        <v/>
      </c>
      <c r="I34" s="40">
        <f>MAX(0,MIN('Cronograma (Gantt)'!$J26,I$30)-MAX('Cronograma (Gantt)'!$I26,I$28)+1)*'Cronograma (Gantt)'!$G26/'Cronograma (Gantt)'!$H26</f>
        <v/>
      </c>
    </row>
    <row r="35">
      <c r="A35" t="n">
        <v>27</v>
      </c>
      <c r="B35">
        <f>'Cronograma (Gantt)'!F27</f>
        <v/>
      </c>
      <c r="C35" s="40">
        <f>MAX(0,MIN('Cronograma (Gantt)'!$J27,C$30)-MAX('Cronograma (Gantt)'!$I27,C$28)+1)*'Cronograma (Gantt)'!$G27/'Cronograma (Gantt)'!$H27</f>
        <v/>
      </c>
      <c r="D35" s="40">
        <f>MAX(0,MIN('Cronograma (Gantt)'!$J27,D$30)-MAX('Cronograma (Gantt)'!$I27,D$28)+1)*'Cronograma (Gantt)'!$G27/'Cronograma (Gantt)'!$H27</f>
        <v/>
      </c>
      <c r="E35" s="40">
        <f>MAX(0,MIN('Cronograma (Gantt)'!$J27,E$30)-MAX('Cronograma (Gantt)'!$I27,E$28)+1)*'Cronograma (Gantt)'!$G27/'Cronograma (Gantt)'!$H27</f>
        <v/>
      </c>
      <c r="F35" s="40">
        <f>MAX(0,MIN('Cronograma (Gantt)'!$J27,F$30)-MAX('Cronograma (Gantt)'!$I27,F$28)+1)*'Cronograma (Gantt)'!$G27/'Cronograma (Gantt)'!$H27</f>
        <v/>
      </c>
      <c r="G35" s="40">
        <f>MAX(0,MIN('Cronograma (Gantt)'!$J27,G$30)-MAX('Cronograma (Gantt)'!$I27,G$28)+1)*'Cronograma (Gantt)'!$G27/'Cronograma (Gantt)'!$H27</f>
        <v/>
      </c>
      <c r="H35" s="40">
        <f>MAX(0,MIN('Cronograma (Gantt)'!$J27,H$30)-MAX('Cronograma (Gantt)'!$I27,H$28)+1)*'Cronograma (Gantt)'!$G27/'Cronograma (Gantt)'!$H27</f>
        <v/>
      </c>
      <c r="I35" s="40">
        <f>MAX(0,MIN('Cronograma (Gantt)'!$J27,I$30)-MAX('Cronograma (Gantt)'!$I27,I$28)+1)*'Cronograma (Gantt)'!$G27/'Cronograma (Gantt)'!$H27</f>
        <v/>
      </c>
    </row>
    <row r="36">
      <c r="A36" t="n">
        <v>29</v>
      </c>
      <c r="B36">
        <f>'Cronograma (Gantt)'!F29</f>
        <v/>
      </c>
      <c r="C36" s="40">
        <f>MAX(0,MIN('Cronograma (Gantt)'!$J29,C$30)-MAX('Cronograma (Gantt)'!$I29,C$28)+1)*'Cronograma (Gantt)'!$G29/'Cronograma (Gantt)'!$H29</f>
        <v/>
      </c>
      <c r="D36" s="40">
        <f>MAX(0,MIN('Cronograma (Gantt)'!$J29,D$30)-MAX('Cronograma (Gantt)'!$I29,D$28)+1)*'Cronograma (Gantt)'!$G29/'Cronograma (Gantt)'!$H29</f>
        <v/>
      </c>
      <c r="E36" s="40">
        <f>MAX(0,MIN('Cronograma (Gantt)'!$J29,E$30)-MAX('Cronograma (Gantt)'!$I29,E$28)+1)*'Cronograma (Gantt)'!$G29/'Cronograma (Gantt)'!$H29</f>
        <v/>
      </c>
      <c r="F36" s="40">
        <f>MAX(0,MIN('Cronograma (Gantt)'!$J29,F$30)-MAX('Cronograma (Gantt)'!$I29,F$28)+1)*'Cronograma (Gantt)'!$G29/'Cronograma (Gantt)'!$H29</f>
        <v/>
      </c>
      <c r="G36" s="40">
        <f>MAX(0,MIN('Cronograma (Gantt)'!$J29,G$30)-MAX('Cronograma (Gantt)'!$I29,G$28)+1)*'Cronograma (Gantt)'!$G29/'Cronograma (Gantt)'!$H29</f>
        <v/>
      </c>
      <c r="H36" s="40">
        <f>MAX(0,MIN('Cronograma (Gantt)'!$J29,H$30)-MAX('Cronograma (Gantt)'!$I29,H$28)+1)*'Cronograma (Gantt)'!$G29/'Cronograma (Gantt)'!$H29</f>
        <v/>
      </c>
      <c r="I36" s="40">
        <f>MAX(0,MIN('Cronograma (Gantt)'!$J29,I$30)-MAX('Cronograma (Gantt)'!$I29,I$28)+1)*'Cronograma (Gantt)'!$G29/'Cronograma (Gantt)'!$H29</f>
        <v/>
      </c>
    </row>
    <row r="37">
      <c r="A37" t="n">
        <v>30</v>
      </c>
      <c r="B37">
        <f>'Cronograma (Gantt)'!F30</f>
        <v/>
      </c>
      <c r="C37" s="40">
        <f>MAX(0,MIN('Cronograma (Gantt)'!$J30,C$30)-MAX('Cronograma (Gantt)'!$I30,C$28)+1)*'Cronograma (Gantt)'!$G30/'Cronograma (Gantt)'!$H30</f>
        <v/>
      </c>
      <c r="D37" s="40">
        <f>MAX(0,MIN('Cronograma (Gantt)'!$J30,D$30)-MAX('Cronograma (Gantt)'!$I30,D$28)+1)*'Cronograma (Gantt)'!$G30/'Cronograma (Gantt)'!$H30</f>
        <v/>
      </c>
      <c r="E37" s="40">
        <f>MAX(0,MIN('Cronograma (Gantt)'!$J30,E$30)-MAX('Cronograma (Gantt)'!$I30,E$28)+1)*'Cronograma (Gantt)'!$G30/'Cronograma (Gantt)'!$H30</f>
        <v/>
      </c>
      <c r="F37" s="40">
        <f>MAX(0,MIN('Cronograma (Gantt)'!$J30,F$30)-MAX('Cronograma (Gantt)'!$I30,F$28)+1)*'Cronograma (Gantt)'!$G30/'Cronograma (Gantt)'!$H30</f>
        <v/>
      </c>
      <c r="G37" s="40">
        <f>MAX(0,MIN('Cronograma (Gantt)'!$J30,G$30)-MAX('Cronograma (Gantt)'!$I30,G$28)+1)*'Cronograma (Gantt)'!$G30/'Cronograma (Gantt)'!$H30</f>
        <v/>
      </c>
      <c r="H37" s="40">
        <f>MAX(0,MIN('Cronograma (Gantt)'!$J30,H$30)-MAX('Cronograma (Gantt)'!$I30,H$28)+1)*'Cronograma (Gantt)'!$G30/'Cronograma (Gantt)'!$H30</f>
        <v/>
      </c>
      <c r="I37" s="40">
        <f>MAX(0,MIN('Cronograma (Gantt)'!$J30,I$30)-MAX('Cronograma (Gantt)'!$I30,I$28)+1)*'Cronograma (Gantt)'!$G30/'Cronograma (Gantt)'!$H30</f>
        <v/>
      </c>
    </row>
    <row r="38">
      <c r="A38" t="n">
        <v>31</v>
      </c>
      <c r="B38">
        <f>'Cronograma (Gantt)'!F31</f>
        <v/>
      </c>
      <c r="C38" s="40">
        <f>MAX(0,MIN('Cronograma (Gantt)'!$J31,C$30)-MAX('Cronograma (Gantt)'!$I31,C$28)+1)*'Cronograma (Gantt)'!$G31/'Cronograma (Gantt)'!$H31</f>
        <v/>
      </c>
      <c r="D38" s="40">
        <f>MAX(0,MIN('Cronograma (Gantt)'!$J31,D$30)-MAX('Cronograma (Gantt)'!$I31,D$28)+1)*'Cronograma (Gantt)'!$G31/'Cronograma (Gantt)'!$H31</f>
        <v/>
      </c>
      <c r="E38" s="40">
        <f>MAX(0,MIN('Cronograma (Gantt)'!$J31,E$30)-MAX('Cronograma (Gantt)'!$I31,E$28)+1)*'Cronograma (Gantt)'!$G31/'Cronograma (Gantt)'!$H31</f>
        <v/>
      </c>
      <c r="F38" s="40">
        <f>MAX(0,MIN('Cronograma (Gantt)'!$J31,F$30)-MAX('Cronograma (Gantt)'!$I31,F$28)+1)*'Cronograma (Gantt)'!$G31/'Cronograma (Gantt)'!$H31</f>
        <v/>
      </c>
      <c r="G38" s="40">
        <f>MAX(0,MIN('Cronograma (Gantt)'!$J31,G$30)-MAX('Cronograma (Gantt)'!$I31,G$28)+1)*'Cronograma (Gantt)'!$G31/'Cronograma (Gantt)'!$H31</f>
        <v/>
      </c>
      <c r="H38" s="40">
        <f>MAX(0,MIN('Cronograma (Gantt)'!$J31,H$30)-MAX('Cronograma (Gantt)'!$I31,H$28)+1)*'Cronograma (Gantt)'!$G31/'Cronograma (Gantt)'!$H31</f>
        <v/>
      </c>
      <c r="I38" s="40">
        <f>MAX(0,MIN('Cronograma (Gantt)'!$J31,I$30)-MAX('Cronograma (Gantt)'!$I31,I$28)+1)*'Cronograma (Gantt)'!$G31/'Cronograma (Gantt)'!$H31</f>
        <v/>
      </c>
    </row>
    <row r="39">
      <c r="A39" t="n">
        <v>32</v>
      </c>
      <c r="B39">
        <f>'Cronograma (Gantt)'!F32</f>
        <v/>
      </c>
      <c r="C39" s="40">
        <f>MAX(0,MIN('Cronograma (Gantt)'!$J32,C$30)-MAX('Cronograma (Gantt)'!$I32,C$28)+1)*'Cronograma (Gantt)'!$G32/'Cronograma (Gantt)'!$H32</f>
        <v/>
      </c>
      <c r="D39" s="40">
        <f>MAX(0,MIN('Cronograma (Gantt)'!$J32,D$30)-MAX('Cronograma (Gantt)'!$I32,D$28)+1)*'Cronograma (Gantt)'!$G32/'Cronograma (Gantt)'!$H32</f>
        <v/>
      </c>
      <c r="E39" s="40">
        <f>MAX(0,MIN('Cronograma (Gantt)'!$J32,E$30)-MAX('Cronograma (Gantt)'!$I32,E$28)+1)*'Cronograma (Gantt)'!$G32/'Cronograma (Gantt)'!$H32</f>
        <v/>
      </c>
      <c r="F39" s="40">
        <f>MAX(0,MIN('Cronograma (Gantt)'!$J32,F$30)-MAX('Cronograma (Gantt)'!$I32,F$28)+1)*'Cronograma (Gantt)'!$G32/'Cronograma (Gantt)'!$H32</f>
        <v/>
      </c>
      <c r="G39" s="40">
        <f>MAX(0,MIN('Cronograma (Gantt)'!$J32,G$30)-MAX('Cronograma (Gantt)'!$I32,G$28)+1)*'Cronograma (Gantt)'!$G32/'Cronograma (Gantt)'!$H32</f>
        <v/>
      </c>
      <c r="H39" s="40">
        <f>MAX(0,MIN('Cronograma (Gantt)'!$J32,H$30)-MAX('Cronograma (Gantt)'!$I32,H$28)+1)*'Cronograma (Gantt)'!$G32/'Cronograma (Gantt)'!$H32</f>
        <v/>
      </c>
      <c r="I39" s="40">
        <f>MAX(0,MIN('Cronograma (Gantt)'!$J32,I$30)-MAX('Cronograma (Gantt)'!$I32,I$28)+1)*'Cronograma (Gantt)'!$G32/'Cronograma (Gantt)'!$H32</f>
        <v/>
      </c>
    </row>
    <row r="40">
      <c r="A40" t="n">
        <v>33</v>
      </c>
      <c r="B40">
        <f>'Cronograma (Gantt)'!F33</f>
        <v/>
      </c>
      <c r="C40" s="40">
        <f>MAX(0,MIN('Cronograma (Gantt)'!$J33,C$30)-MAX('Cronograma (Gantt)'!$I33,C$28)+1)*'Cronograma (Gantt)'!$G33/'Cronograma (Gantt)'!$H33</f>
        <v/>
      </c>
      <c r="D40" s="40">
        <f>MAX(0,MIN('Cronograma (Gantt)'!$J33,D$30)-MAX('Cronograma (Gantt)'!$I33,D$28)+1)*'Cronograma (Gantt)'!$G33/'Cronograma (Gantt)'!$H33</f>
        <v/>
      </c>
      <c r="E40" s="40">
        <f>MAX(0,MIN('Cronograma (Gantt)'!$J33,E$30)-MAX('Cronograma (Gantt)'!$I33,E$28)+1)*'Cronograma (Gantt)'!$G33/'Cronograma (Gantt)'!$H33</f>
        <v/>
      </c>
      <c r="F40" s="40">
        <f>MAX(0,MIN('Cronograma (Gantt)'!$J33,F$30)-MAX('Cronograma (Gantt)'!$I33,F$28)+1)*'Cronograma (Gantt)'!$G33/'Cronograma (Gantt)'!$H33</f>
        <v/>
      </c>
      <c r="G40" s="40">
        <f>MAX(0,MIN('Cronograma (Gantt)'!$J33,G$30)-MAX('Cronograma (Gantt)'!$I33,G$28)+1)*'Cronograma (Gantt)'!$G33/'Cronograma (Gantt)'!$H33</f>
        <v/>
      </c>
      <c r="H40" s="40">
        <f>MAX(0,MIN('Cronograma (Gantt)'!$J33,H$30)-MAX('Cronograma (Gantt)'!$I33,H$28)+1)*'Cronograma (Gantt)'!$G33/'Cronograma (Gantt)'!$H33</f>
        <v/>
      </c>
      <c r="I40" s="40">
        <f>MAX(0,MIN('Cronograma (Gantt)'!$J33,I$30)-MAX('Cronograma (Gantt)'!$I33,I$28)+1)*'Cronograma (Gantt)'!$G33/'Cronograma (Gantt)'!$H33</f>
        <v/>
      </c>
    </row>
    <row r="41">
      <c r="A41" t="n">
        <v>34</v>
      </c>
      <c r="B41">
        <f>'Cronograma (Gantt)'!F34</f>
        <v/>
      </c>
      <c r="C41" s="40">
        <f>MAX(0,MIN('Cronograma (Gantt)'!$J34,C$30)-MAX('Cronograma (Gantt)'!$I34,C$28)+1)*'Cronograma (Gantt)'!$G34/'Cronograma (Gantt)'!$H34</f>
        <v/>
      </c>
      <c r="D41" s="40">
        <f>MAX(0,MIN('Cronograma (Gantt)'!$J34,D$30)-MAX('Cronograma (Gantt)'!$I34,D$28)+1)*'Cronograma (Gantt)'!$G34/'Cronograma (Gantt)'!$H34</f>
        <v/>
      </c>
      <c r="E41" s="40">
        <f>MAX(0,MIN('Cronograma (Gantt)'!$J34,E$30)-MAX('Cronograma (Gantt)'!$I34,E$28)+1)*'Cronograma (Gantt)'!$G34/'Cronograma (Gantt)'!$H34</f>
        <v/>
      </c>
      <c r="F41" s="40">
        <f>MAX(0,MIN('Cronograma (Gantt)'!$J34,F$30)-MAX('Cronograma (Gantt)'!$I34,F$28)+1)*'Cronograma (Gantt)'!$G34/'Cronograma (Gantt)'!$H34</f>
        <v/>
      </c>
      <c r="G41" s="40">
        <f>MAX(0,MIN('Cronograma (Gantt)'!$J34,G$30)-MAX('Cronograma (Gantt)'!$I34,G$28)+1)*'Cronograma (Gantt)'!$G34/'Cronograma (Gantt)'!$H34</f>
        <v/>
      </c>
      <c r="H41" s="40">
        <f>MAX(0,MIN('Cronograma (Gantt)'!$J34,H$30)-MAX('Cronograma (Gantt)'!$I34,H$28)+1)*'Cronograma (Gantt)'!$G34/'Cronograma (Gantt)'!$H34</f>
        <v/>
      </c>
      <c r="I41" s="40">
        <f>MAX(0,MIN('Cronograma (Gantt)'!$J34,I$30)-MAX('Cronograma (Gantt)'!$I34,I$28)+1)*'Cronograma (Gantt)'!$G34/'Cronograma (Gantt)'!$H34</f>
        <v/>
      </c>
    </row>
    <row r="42">
      <c r="A42" t="n">
        <v>36</v>
      </c>
      <c r="B42">
        <f>'Cronograma (Gantt)'!F36</f>
        <v/>
      </c>
      <c r="C42" s="40">
        <f>MAX(0,MIN('Cronograma (Gantt)'!$J36,C$30)-MAX('Cronograma (Gantt)'!$I36,C$28)+1)*'Cronograma (Gantt)'!$G36/'Cronograma (Gantt)'!$H36</f>
        <v/>
      </c>
      <c r="D42" s="40">
        <f>MAX(0,MIN('Cronograma (Gantt)'!$J36,D$30)-MAX('Cronograma (Gantt)'!$I36,D$28)+1)*'Cronograma (Gantt)'!$G36/'Cronograma (Gantt)'!$H36</f>
        <v/>
      </c>
      <c r="E42" s="40">
        <f>MAX(0,MIN('Cronograma (Gantt)'!$J36,E$30)-MAX('Cronograma (Gantt)'!$I36,E$28)+1)*'Cronograma (Gantt)'!$G36/'Cronograma (Gantt)'!$H36</f>
        <v/>
      </c>
      <c r="F42" s="40">
        <f>MAX(0,MIN('Cronograma (Gantt)'!$J36,F$30)-MAX('Cronograma (Gantt)'!$I36,F$28)+1)*'Cronograma (Gantt)'!$G36/'Cronograma (Gantt)'!$H36</f>
        <v/>
      </c>
      <c r="G42" s="40">
        <f>MAX(0,MIN('Cronograma (Gantt)'!$J36,G$30)-MAX('Cronograma (Gantt)'!$I36,G$28)+1)*'Cronograma (Gantt)'!$G36/'Cronograma (Gantt)'!$H36</f>
        <v/>
      </c>
      <c r="H42" s="40">
        <f>MAX(0,MIN('Cronograma (Gantt)'!$J36,H$30)-MAX('Cronograma (Gantt)'!$I36,H$28)+1)*'Cronograma (Gantt)'!$G36/'Cronograma (Gantt)'!$H36</f>
        <v/>
      </c>
      <c r="I42" s="40">
        <f>MAX(0,MIN('Cronograma (Gantt)'!$J36,I$30)-MAX('Cronograma (Gantt)'!$I36,I$28)+1)*'Cronograma (Gantt)'!$G36/'Cronograma (Gantt)'!$H36</f>
        <v/>
      </c>
    </row>
    <row r="43">
      <c r="A43" t="n">
        <v>37</v>
      </c>
      <c r="B43">
        <f>'Cronograma (Gantt)'!F37</f>
        <v/>
      </c>
      <c r="C43" s="40">
        <f>MAX(0,MIN('Cronograma (Gantt)'!$J37,C$30)-MAX('Cronograma (Gantt)'!$I37,C$28)+1)*'Cronograma (Gantt)'!$G37/'Cronograma (Gantt)'!$H37</f>
        <v/>
      </c>
      <c r="D43" s="40">
        <f>MAX(0,MIN('Cronograma (Gantt)'!$J37,D$30)-MAX('Cronograma (Gantt)'!$I37,D$28)+1)*'Cronograma (Gantt)'!$G37/'Cronograma (Gantt)'!$H37</f>
        <v/>
      </c>
      <c r="E43" s="40">
        <f>MAX(0,MIN('Cronograma (Gantt)'!$J37,E$30)-MAX('Cronograma (Gantt)'!$I37,E$28)+1)*'Cronograma (Gantt)'!$G37/'Cronograma (Gantt)'!$H37</f>
        <v/>
      </c>
      <c r="F43" s="40">
        <f>MAX(0,MIN('Cronograma (Gantt)'!$J37,F$30)-MAX('Cronograma (Gantt)'!$I37,F$28)+1)*'Cronograma (Gantt)'!$G37/'Cronograma (Gantt)'!$H37</f>
        <v/>
      </c>
      <c r="G43" s="40">
        <f>MAX(0,MIN('Cronograma (Gantt)'!$J37,G$30)-MAX('Cronograma (Gantt)'!$I37,G$28)+1)*'Cronograma (Gantt)'!$G37/'Cronograma (Gantt)'!$H37</f>
        <v/>
      </c>
      <c r="H43" s="40">
        <f>MAX(0,MIN('Cronograma (Gantt)'!$J37,H$30)-MAX('Cronograma (Gantt)'!$I37,H$28)+1)*'Cronograma (Gantt)'!$G37/'Cronograma (Gantt)'!$H37</f>
        <v/>
      </c>
      <c r="I43" s="40">
        <f>MAX(0,MIN('Cronograma (Gantt)'!$J37,I$30)-MAX('Cronograma (Gantt)'!$I37,I$28)+1)*'Cronograma (Gantt)'!$G37/'Cronograma (Gantt)'!$H37</f>
        <v/>
      </c>
    </row>
    <row r="44">
      <c r="A44" t="n">
        <v>39</v>
      </c>
      <c r="B44">
        <f>'Cronograma (Gantt)'!F39</f>
        <v/>
      </c>
      <c r="C44" s="40">
        <f>MAX(0,MIN('Cronograma (Gantt)'!$J39,C$30)-MAX('Cronograma (Gantt)'!$I39,C$28)+1)*'Cronograma (Gantt)'!$G39/'Cronograma (Gantt)'!$H39</f>
        <v/>
      </c>
      <c r="D44" s="40">
        <f>MAX(0,MIN('Cronograma (Gantt)'!$J39,D$30)-MAX('Cronograma (Gantt)'!$I39,D$28)+1)*'Cronograma (Gantt)'!$G39/'Cronograma (Gantt)'!$H39</f>
        <v/>
      </c>
      <c r="E44" s="40">
        <f>MAX(0,MIN('Cronograma (Gantt)'!$J39,E$30)-MAX('Cronograma (Gantt)'!$I39,E$28)+1)*'Cronograma (Gantt)'!$G39/'Cronograma (Gantt)'!$H39</f>
        <v/>
      </c>
      <c r="F44" s="40">
        <f>MAX(0,MIN('Cronograma (Gantt)'!$J39,F$30)-MAX('Cronograma (Gantt)'!$I39,F$28)+1)*'Cronograma (Gantt)'!$G39/'Cronograma (Gantt)'!$H39</f>
        <v/>
      </c>
      <c r="G44" s="40">
        <f>MAX(0,MIN('Cronograma (Gantt)'!$J39,G$30)-MAX('Cronograma (Gantt)'!$I39,G$28)+1)*'Cronograma (Gantt)'!$G39/'Cronograma (Gantt)'!$H39</f>
        <v/>
      </c>
      <c r="H44" s="40">
        <f>MAX(0,MIN('Cronograma (Gantt)'!$J39,H$30)-MAX('Cronograma (Gantt)'!$I39,H$28)+1)*'Cronograma (Gantt)'!$G39/'Cronograma (Gantt)'!$H39</f>
        <v/>
      </c>
      <c r="I44" s="40">
        <f>MAX(0,MIN('Cronograma (Gantt)'!$J39,I$30)-MAX('Cronograma (Gantt)'!$I39,I$28)+1)*'Cronograma (Gantt)'!$G39/'Cronograma (Gantt)'!$H39</f>
        <v/>
      </c>
    </row>
    <row r="45">
      <c r="A45" t="n">
        <v>40</v>
      </c>
      <c r="B45">
        <f>'Cronograma (Gantt)'!F40</f>
        <v/>
      </c>
      <c r="C45" s="40">
        <f>MAX(0,MIN('Cronograma (Gantt)'!$J40,C$30)-MAX('Cronograma (Gantt)'!$I40,C$28)+1)*'Cronograma (Gantt)'!$G40/'Cronograma (Gantt)'!$H40</f>
        <v/>
      </c>
      <c r="D45" s="40">
        <f>MAX(0,MIN('Cronograma (Gantt)'!$J40,D$30)-MAX('Cronograma (Gantt)'!$I40,D$28)+1)*'Cronograma (Gantt)'!$G40/'Cronograma (Gantt)'!$H40</f>
        <v/>
      </c>
      <c r="E45" s="40">
        <f>MAX(0,MIN('Cronograma (Gantt)'!$J40,E$30)-MAX('Cronograma (Gantt)'!$I40,E$28)+1)*'Cronograma (Gantt)'!$G40/'Cronograma (Gantt)'!$H40</f>
        <v/>
      </c>
      <c r="F45" s="40">
        <f>MAX(0,MIN('Cronograma (Gantt)'!$J40,F$30)-MAX('Cronograma (Gantt)'!$I40,F$28)+1)*'Cronograma (Gantt)'!$G40/'Cronograma (Gantt)'!$H40</f>
        <v/>
      </c>
      <c r="G45" s="40">
        <f>MAX(0,MIN('Cronograma (Gantt)'!$J40,G$30)-MAX('Cronograma (Gantt)'!$I40,G$28)+1)*'Cronograma (Gantt)'!$G40/'Cronograma (Gantt)'!$H40</f>
        <v/>
      </c>
      <c r="H45" s="40">
        <f>MAX(0,MIN('Cronograma (Gantt)'!$J40,H$30)-MAX('Cronograma (Gantt)'!$I40,H$28)+1)*'Cronograma (Gantt)'!$G40/'Cronograma (Gantt)'!$H40</f>
        <v/>
      </c>
      <c r="I45" s="40">
        <f>MAX(0,MIN('Cronograma (Gantt)'!$J40,I$30)-MAX('Cronograma (Gantt)'!$I40,I$28)+1)*'Cronograma (Gantt)'!$G40/'Cronograma (Gantt)'!$H40</f>
        <v/>
      </c>
    </row>
    <row r="46">
      <c r="A46" t="n">
        <v>41</v>
      </c>
      <c r="B46">
        <f>'Cronograma (Gantt)'!F41</f>
        <v/>
      </c>
      <c r="C46" s="40">
        <f>MAX(0,MIN('Cronograma (Gantt)'!$J41,C$30)-MAX('Cronograma (Gantt)'!$I41,C$28)+1)*'Cronograma (Gantt)'!$G41/'Cronograma (Gantt)'!$H41</f>
        <v/>
      </c>
      <c r="D46" s="40">
        <f>MAX(0,MIN('Cronograma (Gantt)'!$J41,D$30)-MAX('Cronograma (Gantt)'!$I41,D$28)+1)*'Cronograma (Gantt)'!$G41/'Cronograma (Gantt)'!$H41</f>
        <v/>
      </c>
      <c r="E46" s="40">
        <f>MAX(0,MIN('Cronograma (Gantt)'!$J41,E$30)-MAX('Cronograma (Gantt)'!$I41,E$28)+1)*'Cronograma (Gantt)'!$G41/'Cronograma (Gantt)'!$H41</f>
        <v/>
      </c>
      <c r="F46" s="40">
        <f>MAX(0,MIN('Cronograma (Gantt)'!$J41,F$30)-MAX('Cronograma (Gantt)'!$I41,F$28)+1)*'Cronograma (Gantt)'!$G41/'Cronograma (Gantt)'!$H41</f>
        <v/>
      </c>
      <c r="G46" s="40">
        <f>MAX(0,MIN('Cronograma (Gantt)'!$J41,G$30)-MAX('Cronograma (Gantt)'!$I41,G$28)+1)*'Cronograma (Gantt)'!$G41/'Cronograma (Gantt)'!$H41</f>
        <v/>
      </c>
      <c r="H46" s="40">
        <f>MAX(0,MIN('Cronograma (Gantt)'!$J41,H$30)-MAX('Cronograma (Gantt)'!$I41,H$28)+1)*'Cronograma (Gantt)'!$G41/'Cronograma (Gantt)'!$H41</f>
        <v/>
      </c>
      <c r="I46" s="40">
        <f>MAX(0,MIN('Cronograma (Gantt)'!$J41,I$30)-MAX('Cronograma (Gantt)'!$I41,I$28)+1)*'Cronograma (Gantt)'!$G41/'Cronograma (Gantt)'!$H41</f>
        <v/>
      </c>
    </row>
    <row r="47">
      <c r="A47" t="n">
        <v>42</v>
      </c>
      <c r="B47">
        <f>'Cronograma (Gantt)'!F42</f>
        <v/>
      </c>
      <c r="C47" s="40">
        <f>MAX(0,MIN('Cronograma (Gantt)'!$J42,C$30)-MAX('Cronograma (Gantt)'!$I42,C$28)+1)*'Cronograma (Gantt)'!$G42/'Cronograma (Gantt)'!$H42</f>
        <v/>
      </c>
      <c r="D47" s="40">
        <f>MAX(0,MIN('Cronograma (Gantt)'!$J42,D$30)-MAX('Cronograma (Gantt)'!$I42,D$28)+1)*'Cronograma (Gantt)'!$G42/'Cronograma (Gantt)'!$H42</f>
        <v/>
      </c>
      <c r="E47" s="40">
        <f>MAX(0,MIN('Cronograma (Gantt)'!$J42,E$30)-MAX('Cronograma (Gantt)'!$I42,E$28)+1)*'Cronograma (Gantt)'!$G42/'Cronograma (Gantt)'!$H42</f>
        <v/>
      </c>
      <c r="F47" s="40">
        <f>MAX(0,MIN('Cronograma (Gantt)'!$J42,F$30)-MAX('Cronograma (Gantt)'!$I42,F$28)+1)*'Cronograma (Gantt)'!$G42/'Cronograma (Gantt)'!$H42</f>
        <v/>
      </c>
      <c r="G47" s="40">
        <f>MAX(0,MIN('Cronograma (Gantt)'!$J42,G$30)-MAX('Cronograma (Gantt)'!$I42,G$28)+1)*'Cronograma (Gantt)'!$G42/'Cronograma (Gantt)'!$H42</f>
        <v/>
      </c>
      <c r="H47" s="40">
        <f>MAX(0,MIN('Cronograma (Gantt)'!$J42,H$30)-MAX('Cronograma (Gantt)'!$I42,H$28)+1)*'Cronograma (Gantt)'!$G42/'Cronograma (Gantt)'!$H42</f>
        <v/>
      </c>
      <c r="I47" s="40">
        <f>MAX(0,MIN('Cronograma (Gantt)'!$J42,I$30)-MAX('Cronograma (Gantt)'!$I42,I$28)+1)*'Cronograma (Gantt)'!$G42/'Cronograma (Gantt)'!$H42</f>
        <v/>
      </c>
    </row>
    <row r="48">
      <c r="A48" t="n">
        <v>43</v>
      </c>
      <c r="B48">
        <f>'Cronograma (Gantt)'!F43</f>
        <v/>
      </c>
      <c r="C48" s="40">
        <f>MAX(0,MIN('Cronograma (Gantt)'!$J43,C$30)-MAX('Cronograma (Gantt)'!$I43,C$28)+1)*'Cronograma (Gantt)'!$G43/'Cronograma (Gantt)'!$H43</f>
        <v/>
      </c>
      <c r="D48" s="40">
        <f>MAX(0,MIN('Cronograma (Gantt)'!$J43,D$30)-MAX('Cronograma (Gantt)'!$I43,D$28)+1)*'Cronograma (Gantt)'!$G43/'Cronograma (Gantt)'!$H43</f>
        <v/>
      </c>
      <c r="E48" s="40">
        <f>MAX(0,MIN('Cronograma (Gantt)'!$J43,E$30)-MAX('Cronograma (Gantt)'!$I43,E$28)+1)*'Cronograma (Gantt)'!$G43/'Cronograma (Gantt)'!$H43</f>
        <v/>
      </c>
      <c r="F48" s="40">
        <f>MAX(0,MIN('Cronograma (Gantt)'!$J43,F$30)-MAX('Cronograma (Gantt)'!$I43,F$28)+1)*'Cronograma (Gantt)'!$G43/'Cronograma (Gantt)'!$H43</f>
        <v/>
      </c>
      <c r="G48" s="40">
        <f>MAX(0,MIN('Cronograma (Gantt)'!$J43,G$30)-MAX('Cronograma (Gantt)'!$I43,G$28)+1)*'Cronograma (Gantt)'!$G43/'Cronograma (Gantt)'!$H43</f>
        <v/>
      </c>
      <c r="H48" s="40">
        <f>MAX(0,MIN('Cronograma (Gantt)'!$J43,H$30)-MAX('Cronograma (Gantt)'!$I43,H$28)+1)*'Cronograma (Gantt)'!$G43/'Cronograma (Gantt)'!$H43</f>
        <v/>
      </c>
      <c r="I48" s="40">
        <f>MAX(0,MIN('Cronograma (Gantt)'!$J43,I$30)-MAX('Cronograma (Gantt)'!$I43,I$28)+1)*'Cronograma (Gantt)'!$G43/'Cronograma (Gantt)'!$H43</f>
        <v/>
      </c>
    </row>
    <row r="49">
      <c r="A49" t="n">
        <v>45</v>
      </c>
      <c r="B49">
        <f>'Cronograma (Gantt)'!F45</f>
        <v/>
      </c>
      <c r="C49" s="40">
        <f>MAX(0,MIN('Cronograma (Gantt)'!$J45,C$30)-MAX('Cronograma (Gantt)'!$I45,C$28)+1)*'Cronograma (Gantt)'!$G45/'Cronograma (Gantt)'!$H45</f>
        <v/>
      </c>
      <c r="D49" s="40">
        <f>MAX(0,MIN('Cronograma (Gantt)'!$J45,D$30)-MAX('Cronograma (Gantt)'!$I45,D$28)+1)*'Cronograma (Gantt)'!$G45/'Cronograma (Gantt)'!$H45</f>
        <v/>
      </c>
      <c r="E49" s="40">
        <f>MAX(0,MIN('Cronograma (Gantt)'!$J45,E$30)-MAX('Cronograma (Gantt)'!$I45,E$28)+1)*'Cronograma (Gantt)'!$G45/'Cronograma (Gantt)'!$H45</f>
        <v/>
      </c>
      <c r="F49" s="40">
        <f>MAX(0,MIN('Cronograma (Gantt)'!$J45,F$30)-MAX('Cronograma (Gantt)'!$I45,F$28)+1)*'Cronograma (Gantt)'!$G45/'Cronograma (Gantt)'!$H45</f>
        <v/>
      </c>
      <c r="G49" s="40">
        <f>MAX(0,MIN('Cronograma (Gantt)'!$J45,G$30)-MAX('Cronograma (Gantt)'!$I45,G$28)+1)*'Cronograma (Gantt)'!$G45/'Cronograma (Gantt)'!$H45</f>
        <v/>
      </c>
      <c r="H49" s="40">
        <f>MAX(0,MIN('Cronograma (Gantt)'!$J45,H$30)-MAX('Cronograma (Gantt)'!$I45,H$28)+1)*'Cronograma (Gantt)'!$G45/'Cronograma (Gantt)'!$H45</f>
        <v/>
      </c>
      <c r="I49" s="40">
        <f>MAX(0,MIN('Cronograma (Gantt)'!$J45,I$30)-MAX('Cronograma (Gantt)'!$I45,I$28)+1)*'Cronograma (Gantt)'!$G45/'Cronograma (Gantt)'!$H45</f>
        <v/>
      </c>
    </row>
    <row r="50">
      <c r="A50" t="n">
        <v>46</v>
      </c>
      <c r="B50">
        <f>'Cronograma (Gantt)'!F46</f>
        <v/>
      </c>
      <c r="C50" s="40">
        <f>MAX(0,MIN('Cronograma (Gantt)'!$J46,C$30)-MAX('Cronograma (Gantt)'!$I46,C$28)+1)*'Cronograma (Gantt)'!$G46/'Cronograma (Gantt)'!$H46</f>
        <v/>
      </c>
      <c r="D50" s="40">
        <f>MAX(0,MIN('Cronograma (Gantt)'!$J46,D$30)-MAX('Cronograma (Gantt)'!$I46,D$28)+1)*'Cronograma (Gantt)'!$G46/'Cronograma (Gantt)'!$H46</f>
        <v/>
      </c>
      <c r="E50" s="40">
        <f>MAX(0,MIN('Cronograma (Gantt)'!$J46,E$30)-MAX('Cronograma (Gantt)'!$I46,E$28)+1)*'Cronograma (Gantt)'!$G46/'Cronograma (Gantt)'!$H46</f>
        <v/>
      </c>
      <c r="F50" s="40">
        <f>MAX(0,MIN('Cronograma (Gantt)'!$J46,F$30)-MAX('Cronograma (Gantt)'!$I46,F$28)+1)*'Cronograma (Gantt)'!$G46/'Cronograma (Gantt)'!$H46</f>
        <v/>
      </c>
      <c r="G50" s="40">
        <f>MAX(0,MIN('Cronograma (Gantt)'!$J46,G$30)-MAX('Cronograma (Gantt)'!$I46,G$28)+1)*'Cronograma (Gantt)'!$G46/'Cronograma (Gantt)'!$H46</f>
        <v/>
      </c>
      <c r="H50" s="40">
        <f>MAX(0,MIN('Cronograma (Gantt)'!$J46,H$30)-MAX('Cronograma (Gantt)'!$I46,H$28)+1)*'Cronograma (Gantt)'!$G46/'Cronograma (Gantt)'!$H46</f>
        <v/>
      </c>
      <c r="I50" s="40">
        <f>MAX(0,MIN('Cronograma (Gantt)'!$J46,I$30)-MAX('Cronograma (Gantt)'!$I46,I$28)+1)*'Cronograma (Gantt)'!$G46/'Cronograma (Gantt)'!$H46</f>
        <v/>
      </c>
    </row>
    <row r="51">
      <c r="A51" t="n">
        <v>47</v>
      </c>
      <c r="B51">
        <f>'Cronograma (Gantt)'!F47</f>
        <v/>
      </c>
      <c r="C51" s="40">
        <f>MAX(0,MIN('Cronograma (Gantt)'!$J47,C$30)-MAX('Cronograma (Gantt)'!$I47,C$28)+1)*'Cronograma (Gantt)'!$G47/'Cronograma (Gantt)'!$H47</f>
        <v/>
      </c>
      <c r="D51" s="40">
        <f>MAX(0,MIN('Cronograma (Gantt)'!$J47,D$30)-MAX('Cronograma (Gantt)'!$I47,D$28)+1)*'Cronograma (Gantt)'!$G47/'Cronograma (Gantt)'!$H47</f>
        <v/>
      </c>
      <c r="E51" s="40">
        <f>MAX(0,MIN('Cronograma (Gantt)'!$J47,E$30)-MAX('Cronograma (Gantt)'!$I47,E$28)+1)*'Cronograma (Gantt)'!$G47/'Cronograma (Gantt)'!$H47</f>
        <v/>
      </c>
      <c r="F51" s="40">
        <f>MAX(0,MIN('Cronograma (Gantt)'!$J47,F$30)-MAX('Cronograma (Gantt)'!$I47,F$28)+1)*'Cronograma (Gantt)'!$G47/'Cronograma (Gantt)'!$H47</f>
        <v/>
      </c>
      <c r="G51" s="40">
        <f>MAX(0,MIN('Cronograma (Gantt)'!$J47,G$30)-MAX('Cronograma (Gantt)'!$I47,G$28)+1)*'Cronograma (Gantt)'!$G47/'Cronograma (Gantt)'!$H47</f>
        <v/>
      </c>
      <c r="H51" s="40">
        <f>MAX(0,MIN('Cronograma (Gantt)'!$J47,H$30)-MAX('Cronograma (Gantt)'!$I47,H$28)+1)*'Cronograma (Gantt)'!$G47/'Cronograma (Gantt)'!$H47</f>
        <v/>
      </c>
      <c r="I51" s="40">
        <f>MAX(0,MIN('Cronograma (Gantt)'!$J47,I$30)-MAX('Cronograma (Gantt)'!$I47,I$28)+1)*'Cronograma (Gantt)'!$G47/'Cronograma (Gantt)'!$H47</f>
        <v/>
      </c>
    </row>
    <row r="52">
      <c r="A52" t="n">
        <v>48</v>
      </c>
      <c r="B52">
        <f>'Cronograma (Gantt)'!F48</f>
        <v/>
      </c>
      <c r="C52" s="40">
        <f>MAX(0,MIN('Cronograma (Gantt)'!$J48,C$30)-MAX('Cronograma (Gantt)'!$I48,C$28)+1)*'Cronograma (Gantt)'!$G48/'Cronograma (Gantt)'!$H48</f>
        <v/>
      </c>
      <c r="D52" s="40">
        <f>MAX(0,MIN('Cronograma (Gantt)'!$J48,D$30)-MAX('Cronograma (Gantt)'!$I48,D$28)+1)*'Cronograma (Gantt)'!$G48/'Cronograma (Gantt)'!$H48</f>
        <v/>
      </c>
      <c r="E52" s="40">
        <f>MAX(0,MIN('Cronograma (Gantt)'!$J48,E$30)-MAX('Cronograma (Gantt)'!$I48,E$28)+1)*'Cronograma (Gantt)'!$G48/'Cronograma (Gantt)'!$H48</f>
        <v/>
      </c>
      <c r="F52" s="40">
        <f>MAX(0,MIN('Cronograma (Gantt)'!$J48,F$30)-MAX('Cronograma (Gantt)'!$I48,F$28)+1)*'Cronograma (Gantt)'!$G48/'Cronograma (Gantt)'!$H48</f>
        <v/>
      </c>
      <c r="G52" s="40">
        <f>MAX(0,MIN('Cronograma (Gantt)'!$J48,G$30)-MAX('Cronograma (Gantt)'!$I48,G$28)+1)*'Cronograma (Gantt)'!$G48/'Cronograma (Gantt)'!$H48</f>
        <v/>
      </c>
      <c r="H52" s="40">
        <f>MAX(0,MIN('Cronograma (Gantt)'!$J48,H$30)-MAX('Cronograma (Gantt)'!$I48,H$28)+1)*'Cronograma (Gantt)'!$G48/'Cronograma (Gantt)'!$H48</f>
        <v/>
      </c>
      <c r="I52" s="40">
        <f>MAX(0,MIN('Cronograma (Gantt)'!$J48,I$30)-MAX('Cronograma (Gantt)'!$I48,I$28)+1)*'Cronograma (Gantt)'!$G48/'Cronograma (Gantt)'!$H48</f>
        <v/>
      </c>
    </row>
    <row r="53">
      <c r="A53" t="n">
        <v>49</v>
      </c>
      <c r="B53">
        <f>'Cronograma (Gantt)'!F49</f>
        <v/>
      </c>
      <c r="C53" s="40">
        <f>MAX(0,MIN('Cronograma (Gantt)'!$J49,C$30)-MAX('Cronograma (Gantt)'!$I49,C$28)+1)*'Cronograma (Gantt)'!$G49/'Cronograma (Gantt)'!$H49</f>
        <v/>
      </c>
      <c r="D53" s="40">
        <f>MAX(0,MIN('Cronograma (Gantt)'!$J49,D$30)-MAX('Cronograma (Gantt)'!$I49,D$28)+1)*'Cronograma (Gantt)'!$G49/'Cronograma (Gantt)'!$H49</f>
        <v/>
      </c>
      <c r="E53" s="40">
        <f>MAX(0,MIN('Cronograma (Gantt)'!$J49,E$30)-MAX('Cronograma (Gantt)'!$I49,E$28)+1)*'Cronograma (Gantt)'!$G49/'Cronograma (Gantt)'!$H49</f>
        <v/>
      </c>
      <c r="F53" s="40">
        <f>MAX(0,MIN('Cronograma (Gantt)'!$J49,F$30)-MAX('Cronograma (Gantt)'!$I49,F$28)+1)*'Cronograma (Gantt)'!$G49/'Cronograma (Gantt)'!$H49</f>
        <v/>
      </c>
      <c r="G53" s="40">
        <f>MAX(0,MIN('Cronograma (Gantt)'!$J49,G$30)-MAX('Cronograma (Gantt)'!$I49,G$28)+1)*'Cronograma (Gantt)'!$G49/'Cronograma (Gantt)'!$H49</f>
        <v/>
      </c>
      <c r="H53" s="40">
        <f>MAX(0,MIN('Cronograma (Gantt)'!$J49,H$30)-MAX('Cronograma (Gantt)'!$I49,H$28)+1)*'Cronograma (Gantt)'!$G49/'Cronograma (Gantt)'!$H49</f>
        <v/>
      </c>
      <c r="I53" s="40">
        <f>MAX(0,MIN('Cronograma (Gantt)'!$J49,I$30)-MAX('Cronograma (Gantt)'!$I49,I$28)+1)*'Cronograma (Gantt)'!$G49/'Cronograma (Gantt)'!$H49</f>
        <v/>
      </c>
    </row>
    <row r="54">
      <c r="A54" t="n">
        <v>50</v>
      </c>
      <c r="B54">
        <f>'Cronograma (Gantt)'!F50</f>
        <v/>
      </c>
      <c r="C54" s="40">
        <f>MAX(0,MIN('Cronograma (Gantt)'!$J50,C$30)-MAX('Cronograma (Gantt)'!$I50,C$28)+1)*'Cronograma (Gantt)'!$G50/'Cronograma (Gantt)'!$H50</f>
        <v/>
      </c>
      <c r="D54" s="40">
        <f>MAX(0,MIN('Cronograma (Gantt)'!$J50,D$30)-MAX('Cronograma (Gantt)'!$I50,D$28)+1)*'Cronograma (Gantt)'!$G50/'Cronograma (Gantt)'!$H50</f>
        <v/>
      </c>
      <c r="E54" s="40">
        <f>MAX(0,MIN('Cronograma (Gantt)'!$J50,E$30)-MAX('Cronograma (Gantt)'!$I50,E$28)+1)*'Cronograma (Gantt)'!$G50/'Cronograma (Gantt)'!$H50</f>
        <v/>
      </c>
      <c r="F54" s="40">
        <f>MAX(0,MIN('Cronograma (Gantt)'!$J50,F$30)-MAX('Cronograma (Gantt)'!$I50,F$28)+1)*'Cronograma (Gantt)'!$G50/'Cronograma (Gantt)'!$H50</f>
        <v/>
      </c>
      <c r="G54" s="40">
        <f>MAX(0,MIN('Cronograma (Gantt)'!$J50,G$30)-MAX('Cronograma (Gantt)'!$I50,G$28)+1)*'Cronograma (Gantt)'!$G50/'Cronograma (Gantt)'!$H50</f>
        <v/>
      </c>
      <c r="H54" s="40">
        <f>MAX(0,MIN('Cronograma (Gantt)'!$J50,H$30)-MAX('Cronograma (Gantt)'!$I50,H$28)+1)*'Cronograma (Gantt)'!$G50/'Cronograma (Gantt)'!$H50</f>
        <v/>
      </c>
      <c r="I54" s="40">
        <f>MAX(0,MIN('Cronograma (Gantt)'!$J50,I$30)-MAX('Cronograma (Gantt)'!$I50,I$28)+1)*'Cronograma (Gantt)'!$G50/'Cronograma (Gantt)'!$H50</f>
        <v/>
      </c>
    </row>
    <row r="55">
      <c r="A55" t="n">
        <v>51</v>
      </c>
      <c r="B55">
        <f>'Cronograma (Gantt)'!F51</f>
        <v/>
      </c>
      <c r="C55" s="40">
        <f>MAX(0,MIN('Cronograma (Gantt)'!$J51,C$30)-MAX('Cronograma (Gantt)'!$I51,C$28)+1)*'Cronograma (Gantt)'!$G51/'Cronograma (Gantt)'!$H51</f>
        <v/>
      </c>
      <c r="D55" s="40">
        <f>MAX(0,MIN('Cronograma (Gantt)'!$J51,D$30)-MAX('Cronograma (Gantt)'!$I51,D$28)+1)*'Cronograma (Gantt)'!$G51/'Cronograma (Gantt)'!$H51</f>
        <v/>
      </c>
      <c r="E55" s="40">
        <f>MAX(0,MIN('Cronograma (Gantt)'!$J51,E$30)-MAX('Cronograma (Gantt)'!$I51,E$28)+1)*'Cronograma (Gantt)'!$G51/'Cronograma (Gantt)'!$H51</f>
        <v/>
      </c>
      <c r="F55" s="40">
        <f>MAX(0,MIN('Cronograma (Gantt)'!$J51,F$30)-MAX('Cronograma (Gantt)'!$I51,F$28)+1)*'Cronograma (Gantt)'!$G51/'Cronograma (Gantt)'!$H51</f>
        <v/>
      </c>
      <c r="G55" s="40">
        <f>MAX(0,MIN('Cronograma (Gantt)'!$J51,G$30)-MAX('Cronograma (Gantt)'!$I51,G$28)+1)*'Cronograma (Gantt)'!$G51/'Cronograma (Gantt)'!$H51</f>
        <v/>
      </c>
      <c r="H55" s="40">
        <f>MAX(0,MIN('Cronograma (Gantt)'!$J51,H$30)-MAX('Cronograma (Gantt)'!$I51,H$28)+1)*'Cronograma (Gantt)'!$G51/'Cronograma (Gantt)'!$H51</f>
        <v/>
      </c>
      <c r="I55" s="40">
        <f>MAX(0,MIN('Cronograma (Gantt)'!$J51,I$30)-MAX('Cronograma (Gantt)'!$I51,I$28)+1)*'Cronograma (Gantt)'!$G51/'Cronograma (Gantt)'!$H51</f>
        <v/>
      </c>
    </row>
    <row r="56">
      <c r="A56" t="n">
        <v>52</v>
      </c>
      <c r="B56">
        <f>'Cronograma (Gantt)'!F52</f>
        <v/>
      </c>
      <c r="C56" s="40">
        <f>MAX(0,MIN('Cronograma (Gantt)'!$J52,C$30)-MAX('Cronograma (Gantt)'!$I52,C$28)+1)*'Cronograma (Gantt)'!$G52/'Cronograma (Gantt)'!$H52</f>
        <v/>
      </c>
      <c r="D56" s="40">
        <f>MAX(0,MIN('Cronograma (Gantt)'!$J52,D$30)-MAX('Cronograma (Gantt)'!$I52,D$28)+1)*'Cronograma (Gantt)'!$G52/'Cronograma (Gantt)'!$H52</f>
        <v/>
      </c>
      <c r="E56" s="40">
        <f>MAX(0,MIN('Cronograma (Gantt)'!$J52,E$30)-MAX('Cronograma (Gantt)'!$I52,E$28)+1)*'Cronograma (Gantt)'!$G52/'Cronograma (Gantt)'!$H52</f>
        <v/>
      </c>
      <c r="F56" s="40">
        <f>MAX(0,MIN('Cronograma (Gantt)'!$J52,F$30)-MAX('Cronograma (Gantt)'!$I52,F$28)+1)*'Cronograma (Gantt)'!$G52/'Cronograma (Gantt)'!$H52</f>
        <v/>
      </c>
      <c r="G56" s="40">
        <f>MAX(0,MIN('Cronograma (Gantt)'!$J52,G$30)-MAX('Cronograma (Gantt)'!$I52,G$28)+1)*'Cronograma (Gantt)'!$G52/'Cronograma (Gantt)'!$H52</f>
        <v/>
      </c>
      <c r="H56" s="40">
        <f>MAX(0,MIN('Cronograma (Gantt)'!$J52,H$30)-MAX('Cronograma (Gantt)'!$I52,H$28)+1)*'Cronograma (Gantt)'!$G52/'Cronograma (Gantt)'!$H52</f>
        <v/>
      </c>
      <c r="I56" s="40">
        <f>MAX(0,MIN('Cronograma (Gantt)'!$J52,I$30)-MAX('Cronograma (Gantt)'!$I52,I$28)+1)*'Cronograma (Gantt)'!$G52/'Cronograma (Gantt)'!$H52</f>
        <v/>
      </c>
    </row>
    <row r="57">
      <c r="A57" t="n">
        <v>54</v>
      </c>
      <c r="B57">
        <f>'Cronograma (Gantt)'!F54</f>
        <v/>
      </c>
      <c r="C57" s="40">
        <f>MAX(0,MIN('Cronograma (Gantt)'!$J54,C$30)-MAX('Cronograma (Gantt)'!$I54,C$28)+1)*'Cronograma (Gantt)'!$G54/'Cronograma (Gantt)'!$H54</f>
        <v/>
      </c>
      <c r="D57" s="40">
        <f>MAX(0,MIN('Cronograma (Gantt)'!$J54,D$30)-MAX('Cronograma (Gantt)'!$I54,D$28)+1)*'Cronograma (Gantt)'!$G54/'Cronograma (Gantt)'!$H54</f>
        <v/>
      </c>
      <c r="E57" s="40">
        <f>MAX(0,MIN('Cronograma (Gantt)'!$J54,E$30)-MAX('Cronograma (Gantt)'!$I54,E$28)+1)*'Cronograma (Gantt)'!$G54/'Cronograma (Gantt)'!$H54</f>
        <v/>
      </c>
      <c r="F57" s="40">
        <f>MAX(0,MIN('Cronograma (Gantt)'!$J54,F$30)-MAX('Cronograma (Gantt)'!$I54,F$28)+1)*'Cronograma (Gantt)'!$G54/'Cronograma (Gantt)'!$H54</f>
        <v/>
      </c>
      <c r="G57" s="40">
        <f>MAX(0,MIN('Cronograma (Gantt)'!$J54,G$30)-MAX('Cronograma (Gantt)'!$I54,G$28)+1)*'Cronograma (Gantt)'!$G54/'Cronograma (Gantt)'!$H54</f>
        <v/>
      </c>
      <c r="H57" s="40">
        <f>MAX(0,MIN('Cronograma (Gantt)'!$J54,H$30)-MAX('Cronograma (Gantt)'!$I54,H$28)+1)*'Cronograma (Gantt)'!$G54/'Cronograma (Gantt)'!$H54</f>
        <v/>
      </c>
      <c r="I57" s="40">
        <f>MAX(0,MIN('Cronograma (Gantt)'!$J54,I$30)-MAX('Cronograma (Gantt)'!$I54,I$28)+1)*'Cronograma (Gantt)'!$G54/'Cronograma (Gantt)'!$H54</f>
        <v/>
      </c>
    </row>
    <row r="58">
      <c r="A58" t="n">
        <v>55</v>
      </c>
      <c r="B58">
        <f>'Cronograma (Gantt)'!F55</f>
        <v/>
      </c>
      <c r="C58" s="40">
        <f>MAX(0,MIN('Cronograma (Gantt)'!$J55,C$30)-MAX('Cronograma (Gantt)'!$I55,C$28)+1)*'Cronograma (Gantt)'!$G55/'Cronograma (Gantt)'!$H55</f>
        <v/>
      </c>
      <c r="D58" s="40">
        <f>MAX(0,MIN('Cronograma (Gantt)'!$J55,D$30)-MAX('Cronograma (Gantt)'!$I55,D$28)+1)*'Cronograma (Gantt)'!$G55/'Cronograma (Gantt)'!$H55</f>
        <v/>
      </c>
      <c r="E58" s="40">
        <f>MAX(0,MIN('Cronograma (Gantt)'!$J55,E$30)-MAX('Cronograma (Gantt)'!$I55,E$28)+1)*'Cronograma (Gantt)'!$G55/'Cronograma (Gantt)'!$H55</f>
        <v/>
      </c>
      <c r="F58" s="40">
        <f>MAX(0,MIN('Cronograma (Gantt)'!$J55,F$30)-MAX('Cronograma (Gantt)'!$I55,F$28)+1)*'Cronograma (Gantt)'!$G55/'Cronograma (Gantt)'!$H55</f>
        <v/>
      </c>
      <c r="G58" s="40">
        <f>MAX(0,MIN('Cronograma (Gantt)'!$J55,G$30)-MAX('Cronograma (Gantt)'!$I55,G$28)+1)*'Cronograma (Gantt)'!$G55/'Cronograma (Gantt)'!$H55</f>
        <v/>
      </c>
      <c r="H58" s="40">
        <f>MAX(0,MIN('Cronograma (Gantt)'!$J55,H$30)-MAX('Cronograma (Gantt)'!$I55,H$28)+1)*'Cronograma (Gantt)'!$G55/'Cronograma (Gantt)'!$H55</f>
        <v/>
      </c>
      <c r="I58" s="40">
        <f>MAX(0,MIN('Cronograma (Gantt)'!$J55,I$30)-MAX('Cronograma (Gantt)'!$I55,I$28)+1)*'Cronograma (Gantt)'!$G55/'Cronograma (Gantt)'!$H55</f>
        <v/>
      </c>
    </row>
    <row r="59">
      <c r="A59" t="n">
        <v>56</v>
      </c>
      <c r="B59">
        <f>'Cronograma (Gantt)'!F56</f>
        <v/>
      </c>
      <c r="C59" s="40">
        <f>MAX(0,MIN('Cronograma (Gantt)'!$J56,C$30)-MAX('Cronograma (Gantt)'!$I56,C$28)+1)*'Cronograma (Gantt)'!$G56/'Cronograma (Gantt)'!$H56</f>
        <v/>
      </c>
      <c r="D59" s="40">
        <f>MAX(0,MIN('Cronograma (Gantt)'!$J56,D$30)-MAX('Cronograma (Gantt)'!$I56,D$28)+1)*'Cronograma (Gantt)'!$G56/'Cronograma (Gantt)'!$H56</f>
        <v/>
      </c>
      <c r="E59" s="40">
        <f>MAX(0,MIN('Cronograma (Gantt)'!$J56,E$30)-MAX('Cronograma (Gantt)'!$I56,E$28)+1)*'Cronograma (Gantt)'!$G56/'Cronograma (Gantt)'!$H56</f>
        <v/>
      </c>
      <c r="F59" s="40">
        <f>MAX(0,MIN('Cronograma (Gantt)'!$J56,F$30)-MAX('Cronograma (Gantt)'!$I56,F$28)+1)*'Cronograma (Gantt)'!$G56/'Cronograma (Gantt)'!$H56</f>
        <v/>
      </c>
      <c r="G59" s="40">
        <f>MAX(0,MIN('Cronograma (Gantt)'!$J56,G$30)-MAX('Cronograma (Gantt)'!$I56,G$28)+1)*'Cronograma (Gantt)'!$G56/'Cronograma (Gantt)'!$H56</f>
        <v/>
      </c>
      <c r="H59" s="40">
        <f>MAX(0,MIN('Cronograma (Gantt)'!$J56,H$30)-MAX('Cronograma (Gantt)'!$I56,H$28)+1)*'Cronograma (Gantt)'!$G56/'Cronograma (Gantt)'!$H56</f>
        <v/>
      </c>
      <c r="I59" s="40">
        <f>MAX(0,MIN('Cronograma (Gantt)'!$J56,I$30)-MAX('Cronograma (Gantt)'!$I56,I$28)+1)*'Cronograma (Gantt)'!$G56/'Cronograma (Gantt)'!$H56</f>
        <v/>
      </c>
    </row>
    <row r="60">
      <c r="A60" t="n">
        <v>57</v>
      </c>
      <c r="B60">
        <f>'Cronograma (Gantt)'!F57</f>
        <v/>
      </c>
      <c r="C60" s="40">
        <f>MAX(0,MIN('Cronograma (Gantt)'!$J57,C$30)-MAX('Cronograma (Gantt)'!$I57,C$28)+1)*'Cronograma (Gantt)'!$G57/'Cronograma (Gantt)'!$H57</f>
        <v/>
      </c>
      <c r="D60" s="40">
        <f>MAX(0,MIN('Cronograma (Gantt)'!$J57,D$30)-MAX('Cronograma (Gantt)'!$I57,D$28)+1)*'Cronograma (Gantt)'!$G57/'Cronograma (Gantt)'!$H57</f>
        <v/>
      </c>
      <c r="E60" s="40">
        <f>MAX(0,MIN('Cronograma (Gantt)'!$J57,E$30)-MAX('Cronograma (Gantt)'!$I57,E$28)+1)*'Cronograma (Gantt)'!$G57/'Cronograma (Gantt)'!$H57</f>
        <v/>
      </c>
      <c r="F60" s="40">
        <f>MAX(0,MIN('Cronograma (Gantt)'!$J57,F$30)-MAX('Cronograma (Gantt)'!$I57,F$28)+1)*'Cronograma (Gantt)'!$G57/'Cronograma (Gantt)'!$H57</f>
        <v/>
      </c>
      <c r="G60" s="40">
        <f>MAX(0,MIN('Cronograma (Gantt)'!$J57,G$30)-MAX('Cronograma (Gantt)'!$I57,G$28)+1)*'Cronograma (Gantt)'!$G57/'Cronograma (Gantt)'!$H57</f>
        <v/>
      </c>
      <c r="H60" s="40">
        <f>MAX(0,MIN('Cronograma (Gantt)'!$J57,H$30)-MAX('Cronograma (Gantt)'!$I57,H$28)+1)*'Cronograma (Gantt)'!$G57/'Cronograma (Gantt)'!$H57</f>
        <v/>
      </c>
      <c r="I60" s="40">
        <f>MAX(0,MIN('Cronograma (Gantt)'!$J57,I$30)-MAX('Cronograma (Gantt)'!$I57,I$28)+1)*'Cronograma (Gantt)'!$G57/'Cronograma (Gantt)'!$H57</f>
        <v/>
      </c>
    </row>
    <row r="61">
      <c r="A61" t="n">
        <v>58</v>
      </c>
      <c r="B61">
        <f>'Cronograma (Gantt)'!F58</f>
        <v/>
      </c>
      <c r="C61" s="40">
        <f>MAX(0,MIN('Cronograma (Gantt)'!$J58,C$30)-MAX('Cronograma (Gantt)'!$I58,C$28)+1)*'Cronograma (Gantt)'!$G58/'Cronograma (Gantt)'!$H58</f>
        <v/>
      </c>
      <c r="D61" s="40">
        <f>MAX(0,MIN('Cronograma (Gantt)'!$J58,D$30)-MAX('Cronograma (Gantt)'!$I58,D$28)+1)*'Cronograma (Gantt)'!$G58/'Cronograma (Gantt)'!$H58</f>
        <v/>
      </c>
      <c r="E61" s="40">
        <f>MAX(0,MIN('Cronograma (Gantt)'!$J58,E$30)-MAX('Cronograma (Gantt)'!$I58,E$28)+1)*'Cronograma (Gantt)'!$G58/'Cronograma (Gantt)'!$H58</f>
        <v/>
      </c>
      <c r="F61" s="40">
        <f>MAX(0,MIN('Cronograma (Gantt)'!$J58,F$30)-MAX('Cronograma (Gantt)'!$I58,F$28)+1)*'Cronograma (Gantt)'!$G58/'Cronograma (Gantt)'!$H58</f>
        <v/>
      </c>
      <c r="G61" s="40">
        <f>MAX(0,MIN('Cronograma (Gantt)'!$J58,G$30)-MAX('Cronograma (Gantt)'!$I58,G$28)+1)*'Cronograma (Gantt)'!$G58/'Cronograma (Gantt)'!$H58</f>
        <v/>
      </c>
      <c r="H61" s="40">
        <f>MAX(0,MIN('Cronograma (Gantt)'!$J58,H$30)-MAX('Cronograma (Gantt)'!$I58,H$28)+1)*'Cronograma (Gantt)'!$G58/'Cronograma (Gantt)'!$H58</f>
        <v/>
      </c>
      <c r="I61" s="40">
        <f>MAX(0,MIN('Cronograma (Gantt)'!$J58,I$30)-MAX('Cronograma (Gantt)'!$I58,I$28)+1)*'Cronograma (Gantt)'!$G58/'Cronograma (Gantt)'!$H58</f>
        <v/>
      </c>
    </row>
    <row r="62">
      <c r="A62" t="n">
        <v>59</v>
      </c>
      <c r="B62">
        <f>'Cronograma (Gantt)'!F59</f>
        <v/>
      </c>
      <c r="C62" s="40">
        <f>MAX(0,MIN('Cronograma (Gantt)'!$J59,C$30)-MAX('Cronograma (Gantt)'!$I59,C$28)+1)*'Cronograma (Gantt)'!$G59/'Cronograma (Gantt)'!$H59</f>
        <v/>
      </c>
      <c r="D62" s="40">
        <f>MAX(0,MIN('Cronograma (Gantt)'!$J59,D$30)-MAX('Cronograma (Gantt)'!$I59,D$28)+1)*'Cronograma (Gantt)'!$G59/'Cronograma (Gantt)'!$H59</f>
        <v/>
      </c>
      <c r="E62" s="40">
        <f>MAX(0,MIN('Cronograma (Gantt)'!$J59,E$30)-MAX('Cronograma (Gantt)'!$I59,E$28)+1)*'Cronograma (Gantt)'!$G59/'Cronograma (Gantt)'!$H59</f>
        <v/>
      </c>
      <c r="F62" s="40">
        <f>MAX(0,MIN('Cronograma (Gantt)'!$J59,F$30)-MAX('Cronograma (Gantt)'!$I59,F$28)+1)*'Cronograma (Gantt)'!$G59/'Cronograma (Gantt)'!$H59</f>
        <v/>
      </c>
      <c r="G62" s="40">
        <f>MAX(0,MIN('Cronograma (Gantt)'!$J59,G$30)-MAX('Cronograma (Gantt)'!$I59,G$28)+1)*'Cronograma (Gantt)'!$G59/'Cronograma (Gantt)'!$H59</f>
        <v/>
      </c>
      <c r="H62" s="40">
        <f>MAX(0,MIN('Cronograma (Gantt)'!$J59,H$30)-MAX('Cronograma (Gantt)'!$I59,H$28)+1)*'Cronograma (Gantt)'!$G59/'Cronograma (Gantt)'!$H59</f>
        <v/>
      </c>
      <c r="I62" s="40">
        <f>MAX(0,MIN('Cronograma (Gantt)'!$J59,I$30)-MAX('Cronograma (Gantt)'!$I59,I$28)+1)*'Cronograma (Gantt)'!$G59/'Cronograma (Gantt)'!$H59</f>
        <v/>
      </c>
    </row>
    <row r="63">
      <c r="A63" t="n">
        <v>60</v>
      </c>
      <c r="B63">
        <f>'Cronograma (Gantt)'!F60</f>
        <v/>
      </c>
      <c r="C63" s="40">
        <f>MAX(0,MIN('Cronograma (Gantt)'!$J60,C$30)-MAX('Cronograma (Gantt)'!$I60,C$28)+1)*'Cronograma (Gantt)'!$G60/'Cronograma (Gantt)'!$H60</f>
        <v/>
      </c>
      <c r="D63" s="40">
        <f>MAX(0,MIN('Cronograma (Gantt)'!$J60,D$30)-MAX('Cronograma (Gantt)'!$I60,D$28)+1)*'Cronograma (Gantt)'!$G60/'Cronograma (Gantt)'!$H60</f>
        <v/>
      </c>
      <c r="E63" s="40">
        <f>MAX(0,MIN('Cronograma (Gantt)'!$J60,E$30)-MAX('Cronograma (Gantt)'!$I60,E$28)+1)*'Cronograma (Gantt)'!$G60/'Cronograma (Gantt)'!$H60</f>
        <v/>
      </c>
      <c r="F63" s="40">
        <f>MAX(0,MIN('Cronograma (Gantt)'!$J60,F$30)-MAX('Cronograma (Gantt)'!$I60,F$28)+1)*'Cronograma (Gantt)'!$G60/'Cronograma (Gantt)'!$H60</f>
        <v/>
      </c>
      <c r="G63" s="40">
        <f>MAX(0,MIN('Cronograma (Gantt)'!$J60,G$30)-MAX('Cronograma (Gantt)'!$I60,G$28)+1)*'Cronograma (Gantt)'!$G60/'Cronograma (Gantt)'!$H60</f>
        <v/>
      </c>
      <c r="H63" s="40">
        <f>MAX(0,MIN('Cronograma (Gantt)'!$J60,H$30)-MAX('Cronograma (Gantt)'!$I60,H$28)+1)*'Cronograma (Gantt)'!$G60/'Cronograma (Gantt)'!$H60</f>
        <v/>
      </c>
      <c r="I63" s="40">
        <f>MAX(0,MIN('Cronograma (Gantt)'!$J60,I$30)-MAX('Cronograma (Gantt)'!$I60,I$28)+1)*'Cronograma (Gantt)'!$G60/'Cronograma (Gantt)'!$H60</f>
        <v/>
      </c>
    </row>
    <row r="64">
      <c r="A64" t="n">
        <v>61</v>
      </c>
      <c r="B64">
        <f>'Cronograma (Gantt)'!F61</f>
        <v/>
      </c>
      <c r="C64" s="40">
        <f>MAX(0,MIN('Cronograma (Gantt)'!$J61,C$30)-MAX('Cronograma (Gantt)'!$I61,C$28)+1)*'Cronograma (Gantt)'!$G61/'Cronograma (Gantt)'!$H61</f>
        <v/>
      </c>
      <c r="D64" s="40">
        <f>MAX(0,MIN('Cronograma (Gantt)'!$J61,D$30)-MAX('Cronograma (Gantt)'!$I61,D$28)+1)*'Cronograma (Gantt)'!$G61/'Cronograma (Gantt)'!$H61</f>
        <v/>
      </c>
      <c r="E64" s="40">
        <f>MAX(0,MIN('Cronograma (Gantt)'!$J61,E$30)-MAX('Cronograma (Gantt)'!$I61,E$28)+1)*'Cronograma (Gantt)'!$G61/'Cronograma (Gantt)'!$H61</f>
        <v/>
      </c>
      <c r="F64" s="40">
        <f>MAX(0,MIN('Cronograma (Gantt)'!$J61,F$30)-MAX('Cronograma (Gantt)'!$I61,F$28)+1)*'Cronograma (Gantt)'!$G61/'Cronograma (Gantt)'!$H61</f>
        <v/>
      </c>
      <c r="G64" s="40">
        <f>MAX(0,MIN('Cronograma (Gantt)'!$J61,G$30)-MAX('Cronograma (Gantt)'!$I61,G$28)+1)*'Cronograma (Gantt)'!$G61/'Cronograma (Gantt)'!$H61</f>
        <v/>
      </c>
      <c r="H64" s="40">
        <f>MAX(0,MIN('Cronograma (Gantt)'!$J61,H$30)-MAX('Cronograma (Gantt)'!$I61,H$28)+1)*'Cronograma (Gantt)'!$G61/'Cronograma (Gantt)'!$H61</f>
        <v/>
      </c>
      <c r="I64" s="40">
        <f>MAX(0,MIN('Cronograma (Gantt)'!$J61,I$30)-MAX('Cronograma (Gantt)'!$I61,I$28)+1)*'Cronograma (Gantt)'!$G61/'Cronograma (Gantt)'!$H61</f>
        <v/>
      </c>
    </row>
    <row r="65">
      <c r="A65" t="n">
        <v>62</v>
      </c>
      <c r="B65">
        <f>'Cronograma (Gantt)'!F62</f>
        <v/>
      </c>
      <c r="C65" s="40">
        <f>MAX(0,MIN('Cronograma (Gantt)'!$J62,C$30)-MAX('Cronograma (Gantt)'!$I62,C$28)+1)*'Cronograma (Gantt)'!$G62/'Cronograma (Gantt)'!$H62</f>
        <v/>
      </c>
      <c r="D65" s="40">
        <f>MAX(0,MIN('Cronograma (Gantt)'!$J62,D$30)-MAX('Cronograma (Gantt)'!$I62,D$28)+1)*'Cronograma (Gantt)'!$G62/'Cronograma (Gantt)'!$H62</f>
        <v/>
      </c>
      <c r="E65" s="40">
        <f>MAX(0,MIN('Cronograma (Gantt)'!$J62,E$30)-MAX('Cronograma (Gantt)'!$I62,E$28)+1)*'Cronograma (Gantt)'!$G62/'Cronograma (Gantt)'!$H62</f>
        <v/>
      </c>
      <c r="F65" s="40">
        <f>MAX(0,MIN('Cronograma (Gantt)'!$J62,F$30)-MAX('Cronograma (Gantt)'!$I62,F$28)+1)*'Cronograma (Gantt)'!$G62/'Cronograma (Gantt)'!$H62</f>
        <v/>
      </c>
      <c r="G65" s="40">
        <f>MAX(0,MIN('Cronograma (Gantt)'!$J62,G$30)-MAX('Cronograma (Gantt)'!$I62,G$28)+1)*'Cronograma (Gantt)'!$G62/'Cronograma (Gantt)'!$H62</f>
        <v/>
      </c>
      <c r="H65" s="40">
        <f>MAX(0,MIN('Cronograma (Gantt)'!$J62,H$30)-MAX('Cronograma (Gantt)'!$I62,H$28)+1)*'Cronograma (Gantt)'!$G62/'Cronograma (Gantt)'!$H62</f>
        <v/>
      </c>
      <c r="I65" s="40">
        <f>MAX(0,MIN('Cronograma (Gantt)'!$J62,I$30)-MAX('Cronograma (Gantt)'!$I62,I$28)+1)*'Cronograma (Gantt)'!$G62/'Cronograma (Gantt)'!$H62</f>
        <v/>
      </c>
    </row>
    <row r="66">
      <c r="A66" t="n">
        <v>63</v>
      </c>
      <c r="B66">
        <f>'Cronograma (Gantt)'!F63</f>
        <v/>
      </c>
      <c r="C66" s="40">
        <f>MAX(0,MIN('Cronograma (Gantt)'!$J63,C$30)-MAX('Cronograma (Gantt)'!$I63,C$28)+1)*'Cronograma (Gantt)'!$G63/'Cronograma (Gantt)'!$H63</f>
        <v/>
      </c>
      <c r="D66" s="40">
        <f>MAX(0,MIN('Cronograma (Gantt)'!$J63,D$30)-MAX('Cronograma (Gantt)'!$I63,D$28)+1)*'Cronograma (Gantt)'!$G63/'Cronograma (Gantt)'!$H63</f>
        <v/>
      </c>
      <c r="E66" s="40">
        <f>MAX(0,MIN('Cronograma (Gantt)'!$J63,E$30)-MAX('Cronograma (Gantt)'!$I63,E$28)+1)*'Cronograma (Gantt)'!$G63/'Cronograma (Gantt)'!$H63</f>
        <v/>
      </c>
      <c r="F66" s="40">
        <f>MAX(0,MIN('Cronograma (Gantt)'!$J63,F$30)-MAX('Cronograma (Gantt)'!$I63,F$28)+1)*'Cronograma (Gantt)'!$G63/'Cronograma (Gantt)'!$H63</f>
        <v/>
      </c>
      <c r="G66" s="40">
        <f>MAX(0,MIN('Cronograma (Gantt)'!$J63,G$30)-MAX('Cronograma (Gantt)'!$I63,G$28)+1)*'Cronograma (Gantt)'!$G63/'Cronograma (Gantt)'!$H63</f>
        <v/>
      </c>
      <c r="H66" s="40">
        <f>MAX(0,MIN('Cronograma (Gantt)'!$J63,H$30)-MAX('Cronograma (Gantt)'!$I63,H$28)+1)*'Cronograma (Gantt)'!$G63/'Cronograma (Gantt)'!$H63</f>
        <v/>
      </c>
      <c r="I66" s="40">
        <f>MAX(0,MIN('Cronograma (Gantt)'!$J63,I$30)-MAX('Cronograma (Gantt)'!$I63,I$28)+1)*'Cronograma (Gantt)'!$G63/'Cronograma (Gantt)'!$H63</f>
        <v/>
      </c>
    </row>
    <row r="67">
      <c r="A67" t="n">
        <v>64</v>
      </c>
      <c r="B67">
        <f>'Cronograma (Gantt)'!F64</f>
        <v/>
      </c>
      <c r="C67" s="40">
        <f>MAX(0,MIN('Cronograma (Gantt)'!$J64,C$30)-MAX('Cronograma (Gantt)'!$I64,C$28)+1)*'Cronograma (Gantt)'!$G64/'Cronograma (Gantt)'!$H64</f>
        <v/>
      </c>
      <c r="D67" s="40">
        <f>MAX(0,MIN('Cronograma (Gantt)'!$J64,D$30)-MAX('Cronograma (Gantt)'!$I64,D$28)+1)*'Cronograma (Gantt)'!$G64/'Cronograma (Gantt)'!$H64</f>
        <v/>
      </c>
      <c r="E67" s="40">
        <f>MAX(0,MIN('Cronograma (Gantt)'!$J64,E$30)-MAX('Cronograma (Gantt)'!$I64,E$28)+1)*'Cronograma (Gantt)'!$G64/'Cronograma (Gantt)'!$H64</f>
        <v/>
      </c>
      <c r="F67" s="40">
        <f>MAX(0,MIN('Cronograma (Gantt)'!$J64,F$30)-MAX('Cronograma (Gantt)'!$I64,F$28)+1)*'Cronograma (Gantt)'!$G64/'Cronograma (Gantt)'!$H64</f>
        <v/>
      </c>
      <c r="G67" s="40">
        <f>MAX(0,MIN('Cronograma (Gantt)'!$J64,G$30)-MAX('Cronograma (Gantt)'!$I64,G$28)+1)*'Cronograma (Gantt)'!$G64/'Cronograma (Gantt)'!$H64</f>
        <v/>
      </c>
      <c r="H67" s="40">
        <f>MAX(0,MIN('Cronograma (Gantt)'!$J64,H$30)-MAX('Cronograma (Gantt)'!$I64,H$28)+1)*'Cronograma (Gantt)'!$G64/'Cronograma (Gantt)'!$H64</f>
        <v/>
      </c>
      <c r="I67" s="40">
        <f>MAX(0,MIN('Cronograma (Gantt)'!$J64,I$30)-MAX('Cronograma (Gantt)'!$I64,I$28)+1)*'Cronograma (Gantt)'!$G64/'Cronograma (Gantt)'!$H64</f>
        <v/>
      </c>
    </row>
    <row r="68">
      <c r="A68" t="n">
        <v>65</v>
      </c>
      <c r="B68">
        <f>'Cronograma (Gantt)'!F65</f>
        <v/>
      </c>
      <c r="C68" s="40">
        <f>MAX(0,MIN('Cronograma (Gantt)'!$J65,C$30)-MAX('Cronograma (Gantt)'!$I65,C$28)+1)*'Cronograma (Gantt)'!$G65/'Cronograma (Gantt)'!$H65</f>
        <v/>
      </c>
      <c r="D68" s="40">
        <f>MAX(0,MIN('Cronograma (Gantt)'!$J65,D$30)-MAX('Cronograma (Gantt)'!$I65,D$28)+1)*'Cronograma (Gantt)'!$G65/'Cronograma (Gantt)'!$H65</f>
        <v/>
      </c>
      <c r="E68" s="40">
        <f>MAX(0,MIN('Cronograma (Gantt)'!$J65,E$30)-MAX('Cronograma (Gantt)'!$I65,E$28)+1)*'Cronograma (Gantt)'!$G65/'Cronograma (Gantt)'!$H65</f>
        <v/>
      </c>
      <c r="F68" s="40">
        <f>MAX(0,MIN('Cronograma (Gantt)'!$J65,F$30)-MAX('Cronograma (Gantt)'!$I65,F$28)+1)*'Cronograma (Gantt)'!$G65/'Cronograma (Gantt)'!$H65</f>
        <v/>
      </c>
      <c r="G68" s="40">
        <f>MAX(0,MIN('Cronograma (Gantt)'!$J65,G$30)-MAX('Cronograma (Gantt)'!$I65,G$28)+1)*'Cronograma (Gantt)'!$G65/'Cronograma (Gantt)'!$H65</f>
        <v/>
      </c>
      <c r="H68" s="40">
        <f>MAX(0,MIN('Cronograma (Gantt)'!$J65,H$30)-MAX('Cronograma (Gantt)'!$I65,H$28)+1)*'Cronograma (Gantt)'!$G65/'Cronograma (Gantt)'!$H65</f>
        <v/>
      </c>
      <c r="I68" s="40">
        <f>MAX(0,MIN('Cronograma (Gantt)'!$J65,I$30)-MAX('Cronograma (Gantt)'!$I65,I$28)+1)*'Cronograma (Gantt)'!$G65/'Cronograma (Gantt)'!$H65</f>
        <v/>
      </c>
    </row>
    <row r="69">
      <c r="A69" t="n">
        <v>66</v>
      </c>
      <c r="B69">
        <f>'Cronograma (Gantt)'!F66</f>
        <v/>
      </c>
      <c r="C69" s="40">
        <f>MAX(0,MIN('Cronograma (Gantt)'!$J66,C$30)-MAX('Cronograma (Gantt)'!$I66,C$28)+1)*'Cronograma (Gantt)'!$G66/'Cronograma (Gantt)'!$H66</f>
        <v/>
      </c>
      <c r="D69" s="40">
        <f>MAX(0,MIN('Cronograma (Gantt)'!$J66,D$30)-MAX('Cronograma (Gantt)'!$I66,D$28)+1)*'Cronograma (Gantt)'!$G66/'Cronograma (Gantt)'!$H66</f>
        <v/>
      </c>
      <c r="E69" s="40">
        <f>MAX(0,MIN('Cronograma (Gantt)'!$J66,E$30)-MAX('Cronograma (Gantt)'!$I66,E$28)+1)*'Cronograma (Gantt)'!$G66/'Cronograma (Gantt)'!$H66</f>
        <v/>
      </c>
      <c r="F69" s="40">
        <f>MAX(0,MIN('Cronograma (Gantt)'!$J66,F$30)-MAX('Cronograma (Gantt)'!$I66,F$28)+1)*'Cronograma (Gantt)'!$G66/'Cronograma (Gantt)'!$H66</f>
        <v/>
      </c>
      <c r="G69" s="40">
        <f>MAX(0,MIN('Cronograma (Gantt)'!$J66,G$30)-MAX('Cronograma (Gantt)'!$I66,G$28)+1)*'Cronograma (Gantt)'!$G66/'Cronograma (Gantt)'!$H66</f>
        <v/>
      </c>
      <c r="H69" s="40">
        <f>MAX(0,MIN('Cronograma (Gantt)'!$J66,H$30)-MAX('Cronograma (Gantt)'!$I66,H$28)+1)*'Cronograma (Gantt)'!$G66/'Cronograma (Gantt)'!$H66</f>
        <v/>
      </c>
      <c r="I69" s="40">
        <f>MAX(0,MIN('Cronograma (Gantt)'!$J66,I$30)-MAX('Cronograma (Gantt)'!$I66,I$28)+1)*'Cronograma (Gantt)'!$G66/'Cronograma (Gantt)'!$H66</f>
        <v/>
      </c>
    </row>
    <row r="70">
      <c r="A70" t="n">
        <v>68</v>
      </c>
      <c r="B70">
        <f>'Cronograma (Gantt)'!F68</f>
        <v/>
      </c>
      <c r="C70" s="40">
        <f>MAX(0,MIN('Cronograma (Gantt)'!$J68,C$30)-MAX('Cronograma (Gantt)'!$I68,C$28)+1)*'Cronograma (Gantt)'!$G68/'Cronograma (Gantt)'!$H68</f>
        <v/>
      </c>
      <c r="D70" s="40">
        <f>MAX(0,MIN('Cronograma (Gantt)'!$J68,D$30)-MAX('Cronograma (Gantt)'!$I68,D$28)+1)*'Cronograma (Gantt)'!$G68/'Cronograma (Gantt)'!$H68</f>
        <v/>
      </c>
      <c r="E70" s="40">
        <f>MAX(0,MIN('Cronograma (Gantt)'!$J68,E$30)-MAX('Cronograma (Gantt)'!$I68,E$28)+1)*'Cronograma (Gantt)'!$G68/'Cronograma (Gantt)'!$H68</f>
        <v/>
      </c>
      <c r="F70" s="40">
        <f>MAX(0,MIN('Cronograma (Gantt)'!$J68,F$30)-MAX('Cronograma (Gantt)'!$I68,F$28)+1)*'Cronograma (Gantt)'!$G68/'Cronograma (Gantt)'!$H68</f>
        <v/>
      </c>
      <c r="G70" s="40">
        <f>MAX(0,MIN('Cronograma (Gantt)'!$J68,G$30)-MAX('Cronograma (Gantt)'!$I68,G$28)+1)*'Cronograma (Gantt)'!$G68/'Cronograma (Gantt)'!$H68</f>
        <v/>
      </c>
      <c r="H70" s="40">
        <f>MAX(0,MIN('Cronograma (Gantt)'!$J68,H$30)-MAX('Cronograma (Gantt)'!$I68,H$28)+1)*'Cronograma (Gantt)'!$G68/'Cronograma (Gantt)'!$H68</f>
        <v/>
      </c>
      <c r="I70" s="40">
        <f>MAX(0,MIN('Cronograma (Gantt)'!$J68,I$30)-MAX('Cronograma (Gantt)'!$I68,I$28)+1)*'Cronograma (Gantt)'!$G68/'Cronograma (Gantt)'!$H68</f>
        <v/>
      </c>
    </row>
    <row r="71">
      <c r="A71" t="n">
        <v>69</v>
      </c>
      <c r="B71">
        <f>'Cronograma (Gantt)'!F69</f>
        <v/>
      </c>
      <c r="C71" s="40">
        <f>MAX(0,MIN('Cronograma (Gantt)'!$J69,C$30)-MAX('Cronograma (Gantt)'!$I69,C$28)+1)*'Cronograma (Gantt)'!$G69/'Cronograma (Gantt)'!$H69</f>
        <v/>
      </c>
      <c r="D71" s="40">
        <f>MAX(0,MIN('Cronograma (Gantt)'!$J69,D$30)-MAX('Cronograma (Gantt)'!$I69,D$28)+1)*'Cronograma (Gantt)'!$G69/'Cronograma (Gantt)'!$H69</f>
        <v/>
      </c>
      <c r="E71" s="40">
        <f>MAX(0,MIN('Cronograma (Gantt)'!$J69,E$30)-MAX('Cronograma (Gantt)'!$I69,E$28)+1)*'Cronograma (Gantt)'!$G69/'Cronograma (Gantt)'!$H69</f>
        <v/>
      </c>
      <c r="F71" s="40">
        <f>MAX(0,MIN('Cronograma (Gantt)'!$J69,F$30)-MAX('Cronograma (Gantt)'!$I69,F$28)+1)*'Cronograma (Gantt)'!$G69/'Cronograma (Gantt)'!$H69</f>
        <v/>
      </c>
      <c r="G71" s="40">
        <f>MAX(0,MIN('Cronograma (Gantt)'!$J69,G$30)-MAX('Cronograma (Gantt)'!$I69,G$28)+1)*'Cronograma (Gantt)'!$G69/'Cronograma (Gantt)'!$H69</f>
        <v/>
      </c>
      <c r="H71" s="40">
        <f>MAX(0,MIN('Cronograma (Gantt)'!$J69,H$30)-MAX('Cronograma (Gantt)'!$I69,H$28)+1)*'Cronograma (Gantt)'!$G69/'Cronograma (Gantt)'!$H69</f>
        <v/>
      </c>
      <c r="I71" s="40">
        <f>MAX(0,MIN('Cronograma (Gantt)'!$J69,I$30)-MAX('Cronograma (Gantt)'!$I69,I$28)+1)*'Cronograma (Gantt)'!$G69/'Cronograma (Gantt)'!$H69</f>
        <v/>
      </c>
    </row>
    <row r="72">
      <c r="A72" t="n">
        <v>70</v>
      </c>
      <c r="B72">
        <f>'Cronograma (Gantt)'!F70</f>
        <v/>
      </c>
      <c r="C72" s="40">
        <f>MAX(0,MIN('Cronograma (Gantt)'!$J70,C$30)-MAX('Cronograma (Gantt)'!$I70,C$28)+1)*'Cronograma (Gantt)'!$G70/'Cronograma (Gantt)'!$H70</f>
        <v/>
      </c>
      <c r="D72" s="40">
        <f>MAX(0,MIN('Cronograma (Gantt)'!$J70,D$30)-MAX('Cronograma (Gantt)'!$I70,D$28)+1)*'Cronograma (Gantt)'!$G70/'Cronograma (Gantt)'!$H70</f>
        <v/>
      </c>
      <c r="E72" s="40">
        <f>MAX(0,MIN('Cronograma (Gantt)'!$J70,E$30)-MAX('Cronograma (Gantt)'!$I70,E$28)+1)*'Cronograma (Gantt)'!$G70/'Cronograma (Gantt)'!$H70</f>
        <v/>
      </c>
      <c r="F72" s="40">
        <f>MAX(0,MIN('Cronograma (Gantt)'!$J70,F$30)-MAX('Cronograma (Gantt)'!$I70,F$28)+1)*'Cronograma (Gantt)'!$G70/'Cronograma (Gantt)'!$H70</f>
        <v/>
      </c>
      <c r="G72" s="40">
        <f>MAX(0,MIN('Cronograma (Gantt)'!$J70,G$30)-MAX('Cronograma (Gantt)'!$I70,G$28)+1)*'Cronograma (Gantt)'!$G70/'Cronograma (Gantt)'!$H70</f>
        <v/>
      </c>
      <c r="H72" s="40">
        <f>MAX(0,MIN('Cronograma (Gantt)'!$J70,H$30)-MAX('Cronograma (Gantt)'!$I70,H$28)+1)*'Cronograma (Gantt)'!$G70/'Cronograma (Gantt)'!$H70</f>
        <v/>
      </c>
      <c r="I72" s="40">
        <f>MAX(0,MIN('Cronograma (Gantt)'!$J70,I$30)-MAX('Cronograma (Gantt)'!$I70,I$28)+1)*'Cronograma (Gantt)'!$G70/'Cronograma (Gantt)'!$H70</f>
        <v/>
      </c>
    </row>
    <row r="73">
      <c r="A73" t="n">
        <v>72</v>
      </c>
      <c r="B73">
        <f>'Cronograma (Gantt)'!F72</f>
        <v/>
      </c>
      <c r="C73" s="40">
        <f>MAX(0,MIN('Cronograma (Gantt)'!$J72,C$30)-MAX('Cronograma (Gantt)'!$I72,C$28)+1)*'Cronograma (Gantt)'!$G72/'Cronograma (Gantt)'!$H72</f>
        <v/>
      </c>
      <c r="D73" s="40">
        <f>MAX(0,MIN('Cronograma (Gantt)'!$J72,D$30)-MAX('Cronograma (Gantt)'!$I72,D$28)+1)*'Cronograma (Gantt)'!$G72/'Cronograma (Gantt)'!$H72</f>
        <v/>
      </c>
      <c r="E73" s="40">
        <f>MAX(0,MIN('Cronograma (Gantt)'!$J72,E$30)-MAX('Cronograma (Gantt)'!$I72,E$28)+1)*'Cronograma (Gantt)'!$G72/'Cronograma (Gantt)'!$H72</f>
        <v/>
      </c>
      <c r="F73" s="40">
        <f>MAX(0,MIN('Cronograma (Gantt)'!$J72,F$30)-MAX('Cronograma (Gantt)'!$I72,F$28)+1)*'Cronograma (Gantt)'!$G72/'Cronograma (Gantt)'!$H72</f>
        <v/>
      </c>
      <c r="G73" s="40">
        <f>MAX(0,MIN('Cronograma (Gantt)'!$J72,G$30)-MAX('Cronograma (Gantt)'!$I72,G$28)+1)*'Cronograma (Gantt)'!$G72/'Cronograma (Gantt)'!$H72</f>
        <v/>
      </c>
      <c r="H73" s="40">
        <f>MAX(0,MIN('Cronograma (Gantt)'!$J72,H$30)-MAX('Cronograma (Gantt)'!$I72,H$28)+1)*'Cronograma (Gantt)'!$G72/'Cronograma (Gantt)'!$H72</f>
        <v/>
      </c>
      <c r="I73" s="40">
        <f>MAX(0,MIN('Cronograma (Gantt)'!$J72,I$30)-MAX('Cronograma (Gantt)'!$I72,I$28)+1)*'Cronograma (Gantt)'!$G72/'Cronograma (Gantt)'!$H72</f>
        <v/>
      </c>
    </row>
    <row r="74">
      <c r="A74" t="n">
        <v>73</v>
      </c>
      <c r="B74">
        <f>'Cronograma (Gantt)'!F73</f>
        <v/>
      </c>
      <c r="C74" s="40">
        <f>MAX(0,MIN('Cronograma (Gantt)'!$J73,C$30)-MAX('Cronograma (Gantt)'!$I73,C$28)+1)*'Cronograma (Gantt)'!$G73/'Cronograma (Gantt)'!$H73</f>
        <v/>
      </c>
      <c r="D74" s="40">
        <f>MAX(0,MIN('Cronograma (Gantt)'!$J73,D$30)-MAX('Cronograma (Gantt)'!$I73,D$28)+1)*'Cronograma (Gantt)'!$G73/'Cronograma (Gantt)'!$H73</f>
        <v/>
      </c>
      <c r="E74" s="40">
        <f>MAX(0,MIN('Cronograma (Gantt)'!$J73,E$30)-MAX('Cronograma (Gantt)'!$I73,E$28)+1)*'Cronograma (Gantt)'!$G73/'Cronograma (Gantt)'!$H73</f>
        <v/>
      </c>
      <c r="F74" s="40">
        <f>MAX(0,MIN('Cronograma (Gantt)'!$J73,F$30)-MAX('Cronograma (Gantt)'!$I73,F$28)+1)*'Cronograma (Gantt)'!$G73/'Cronograma (Gantt)'!$H73</f>
        <v/>
      </c>
      <c r="G74" s="40">
        <f>MAX(0,MIN('Cronograma (Gantt)'!$J73,G$30)-MAX('Cronograma (Gantt)'!$I73,G$28)+1)*'Cronograma (Gantt)'!$G73/'Cronograma (Gantt)'!$H73</f>
        <v/>
      </c>
      <c r="H74" s="40">
        <f>MAX(0,MIN('Cronograma (Gantt)'!$J73,H$30)-MAX('Cronograma (Gantt)'!$I73,H$28)+1)*'Cronograma (Gantt)'!$G73/'Cronograma (Gantt)'!$H73</f>
        <v/>
      </c>
      <c r="I74" s="40">
        <f>MAX(0,MIN('Cronograma (Gantt)'!$J73,I$30)-MAX('Cronograma (Gantt)'!$I73,I$28)+1)*'Cronograma (Gantt)'!$G73/'Cronograma (Gantt)'!$H73</f>
        <v/>
      </c>
    </row>
    <row r="75">
      <c r="A75" t="n">
        <v>74</v>
      </c>
      <c r="B75">
        <f>'Cronograma (Gantt)'!F74</f>
        <v/>
      </c>
      <c r="C75" s="40">
        <f>MAX(0,MIN('Cronograma (Gantt)'!$J74,C$30)-MAX('Cronograma (Gantt)'!$I74,C$28)+1)*'Cronograma (Gantt)'!$G74/'Cronograma (Gantt)'!$H74</f>
        <v/>
      </c>
      <c r="D75" s="40">
        <f>MAX(0,MIN('Cronograma (Gantt)'!$J74,D$30)-MAX('Cronograma (Gantt)'!$I74,D$28)+1)*'Cronograma (Gantt)'!$G74/'Cronograma (Gantt)'!$H74</f>
        <v/>
      </c>
      <c r="E75" s="40">
        <f>MAX(0,MIN('Cronograma (Gantt)'!$J74,E$30)-MAX('Cronograma (Gantt)'!$I74,E$28)+1)*'Cronograma (Gantt)'!$G74/'Cronograma (Gantt)'!$H74</f>
        <v/>
      </c>
      <c r="F75" s="40">
        <f>MAX(0,MIN('Cronograma (Gantt)'!$J74,F$30)-MAX('Cronograma (Gantt)'!$I74,F$28)+1)*'Cronograma (Gantt)'!$G74/'Cronograma (Gantt)'!$H74</f>
        <v/>
      </c>
      <c r="G75" s="40">
        <f>MAX(0,MIN('Cronograma (Gantt)'!$J74,G$30)-MAX('Cronograma (Gantt)'!$I74,G$28)+1)*'Cronograma (Gantt)'!$G74/'Cronograma (Gantt)'!$H74</f>
        <v/>
      </c>
      <c r="H75" s="40">
        <f>MAX(0,MIN('Cronograma (Gantt)'!$J74,H$30)-MAX('Cronograma (Gantt)'!$I74,H$28)+1)*'Cronograma (Gantt)'!$G74/'Cronograma (Gantt)'!$H74</f>
        <v/>
      </c>
      <c r="I75" s="40">
        <f>MAX(0,MIN('Cronograma (Gantt)'!$J74,I$30)-MAX('Cronograma (Gantt)'!$I74,I$28)+1)*'Cronograma (Gantt)'!$G74/'Cronograma (Gantt)'!$H74</f>
        <v/>
      </c>
    </row>
    <row r="76">
      <c r="A76" t="n">
        <v>75</v>
      </c>
      <c r="B76">
        <f>'Cronograma (Gantt)'!F75</f>
        <v/>
      </c>
      <c r="C76" s="40">
        <f>MAX(0,MIN('Cronograma (Gantt)'!$J75,C$30)-MAX('Cronograma (Gantt)'!$I75,C$28)+1)*'Cronograma (Gantt)'!$G75/'Cronograma (Gantt)'!$H75</f>
        <v/>
      </c>
      <c r="D76" s="40">
        <f>MAX(0,MIN('Cronograma (Gantt)'!$J75,D$30)-MAX('Cronograma (Gantt)'!$I75,D$28)+1)*'Cronograma (Gantt)'!$G75/'Cronograma (Gantt)'!$H75</f>
        <v/>
      </c>
      <c r="E76" s="40">
        <f>MAX(0,MIN('Cronograma (Gantt)'!$J75,E$30)-MAX('Cronograma (Gantt)'!$I75,E$28)+1)*'Cronograma (Gantt)'!$G75/'Cronograma (Gantt)'!$H75</f>
        <v/>
      </c>
      <c r="F76" s="40">
        <f>MAX(0,MIN('Cronograma (Gantt)'!$J75,F$30)-MAX('Cronograma (Gantt)'!$I75,F$28)+1)*'Cronograma (Gantt)'!$G75/'Cronograma (Gantt)'!$H75</f>
        <v/>
      </c>
      <c r="G76" s="40">
        <f>MAX(0,MIN('Cronograma (Gantt)'!$J75,G$30)-MAX('Cronograma (Gantt)'!$I75,G$28)+1)*'Cronograma (Gantt)'!$G75/'Cronograma (Gantt)'!$H75</f>
        <v/>
      </c>
      <c r="H76" s="40">
        <f>MAX(0,MIN('Cronograma (Gantt)'!$J75,H$30)-MAX('Cronograma (Gantt)'!$I75,H$28)+1)*'Cronograma (Gantt)'!$G75/'Cronograma (Gantt)'!$H75</f>
        <v/>
      </c>
      <c r="I76" s="40">
        <f>MAX(0,MIN('Cronograma (Gantt)'!$J75,I$30)-MAX('Cronograma (Gantt)'!$I75,I$28)+1)*'Cronograma (Gantt)'!$G75/'Cronograma (Gantt)'!$H75</f>
        <v/>
      </c>
    </row>
    <row r="77">
      <c r="A77" t="n">
        <v>76</v>
      </c>
      <c r="B77">
        <f>'Cronograma (Gantt)'!F76</f>
        <v/>
      </c>
      <c r="C77" s="40">
        <f>MAX(0,MIN('Cronograma (Gantt)'!$J76,C$30)-MAX('Cronograma (Gantt)'!$I76,C$28)+1)*'Cronograma (Gantt)'!$G76/'Cronograma (Gantt)'!$H76</f>
        <v/>
      </c>
      <c r="D77" s="40">
        <f>MAX(0,MIN('Cronograma (Gantt)'!$J76,D$30)-MAX('Cronograma (Gantt)'!$I76,D$28)+1)*'Cronograma (Gantt)'!$G76/'Cronograma (Gantt)'!$H76</f>
        <v/>
      </c>
      <c r="E77" s="40">
        <f>MAX(0,MIN('Cronograma (Gantt)'!$J76,E$30)-MAX('Cronograma (Gantt)'!$I76,E$28)+1)*'Cronograma (Gantt)'!$G76/'Cronograma (Gantt)'!$H76</f>
        <v/>
      </c>
      <c r="F77" s="40">
        <f>MAX(0,MIN('Cronograma (Gantt)'!$J76,F$30)-MAX('Cronograma (Gantt)'!$I76,F$28)+1)*'Cronograma (Gantt)'!$G76/'Cronograma (Gantt)'!$H76</f>
        <v/>
      </c>
      <c r="G77" s="40">
        <f>MAX(0,MIN('Cronograma (Gantt)'!$J76,G$30)-MAX('Cronograma (Gantt)'!$I76,G$28)+1)*'Cronograma (Gantt)'!$G76/'Cronograma (Gantt)'!$H76</f>
        <v/>
      </c>
      <c r="H77" s="40">
        <f>MAX(0,MIN('Cronograma (Gantt)'!$J76,H$30)-MAX('Cronograma (Gantt)'!$I76,H$28)+1)*'Cronograma (Gantt)'!$G76/'Cronograma (Gantt)'!$H76</f>
        <v/>
      </c>
      <c r="I77" s="40">
        <f>MAX(0,MIN('Cronograma (Gantt)'!$J76,I$30)-MAX('Cronograma (Gantt)'!$I76,I$28)+1)*'Cronograma (Gantt)'!$G76/'Cronograma (Gantt)'!$H76</f>
        <v/>
      </c>
    </row>
    <row r="78">
      <c r="A78" t="n">
        <v>77</v>
      </c>
      <c r="B78">
        <f>'Cronograma (Gantt)'!F77</f>
        <v/>
      </c>
      <c r="C78" s="40">
        <f>MAX(0,MIN('Cronograma (Gantt)'!$J77,C$30)-MAX('Cronograma (Gantt)'!$I77,C$28)+1)*'Cronograma (Gantt)'!$G77/'Cronograma (Gantt)'!$H77</f>
        <v/>
      </c>
      <c r="D78" s="40">
        <f>MAX(0,MIN('Cronograma (Gantt)'!$J77,D$30)-MAX('Cronograma (Gantt)'!$I77,D$28)+1)*'Cronograma (Gantt)'!$G77/'Cronograma (Gantt)'!$H77</f>
        <v/>
      </c>
      <c r="E78" s="40">
        <f>MAX(0,MIN('Cronograma (Gantt)'!$J77,E$30)-MAX('Cronograma (Gantt)'!$I77,E$28)+1)*'Cronograma (Gantt)'!$G77/'Cronograma (Gantt)'!$H77</f>
        <v/>
      </c>
      <c r="F78" s="40">
        <f>MAX(0,MIN('Cronograma (Gantt)'!$J77,F$30)-MAX('Cronograma (Gantt)'!$I77,F$28)+1)*'Cronograma (Gantt)'!$G77/'Cronograma (Gantt)'!$H77</f>
        <v/>
      </c>
      <c r="G78" s="40">
        <f>MAX(0,MIN('Cronograma (Gantt)'!$J77,G$30)-MAX('Cronograma (Gantt)'!$I77,G$28)+1)*'Cronograma (Gantt)'!$G77/'Cronograma (Gantt)'!$H77</f>
        <v/>
      </c>
      <c r="H78" s="40">
        <f>MAX(0,MIN('Cronograma (Gantt)'!$J77,H$30)-MAX('Cronograma (Gantt)'!$I77,H$28)+1)*'Cronograma (Gantt)'!$G77/'Cronograma (Gantt)'!$H77</f>
        <v/>
      </c>
      <c r="I78" s="40">
        <f>MAX(0,MIN('Cronograma (Gantt)'!$J77,I$30)-MAX('Cronograma (Gantt)'!$I77,I$28)+1)*'Cronograma (Gantt)'!$G77/'Cronograma (Gantt)'!$H77</f>
        <v/>
      </c>
    </row>
    <row r="79">
      <c r="A79" t="n">
        <v>78</v>
      </c>
      <c r="B79">
        <f>'Cronograma (Gantt)'!F78</f>
        <v/>
      </c>
      <c r="C79" s="40">
        <f>MAX(0,MIN('Cronograma (Gantt)'!$J78,C$30)-MAX('Cronograma (Gantt)'!$I78,C$28)+1)*'Cronograma (Gantt)'!$G78/'Cronograma (Gantt)'!$H78</f>
        <v/>
      </c>
      <c r="D79" s="40">
        <f>MAX(0,MIN('Cronograma (Gantt)'!$J78,D$30)-MAX('Cronograma (Gantt)'!$I78,D$28)+1)*'Cronograma (Gantt)'!$G78/'Cronograma (Gantt)'!$H78</f>
        <v/>
      </c>
      <c r="E79" s="40">
        <f>MAX(0,MIN('Cronograma (Gantt)'!$J78,E$30)-MAX('Cronograma (Gantt)'!$I78,E$28)+1)*'Cronograma (Gantt)'!$G78/'Cronograma (Gantt)'!$H78</f>
        <v/>
      </c>
      <c r="F79" s="40">
        <f>MAX(0,MIN('Cronograma (Gantt)'!$J78,F$30)-MAX('Cronograma (Gantt)'!$I78,F$28)+1)*'Cronograma (Gantt)'!$G78/'Cronograma (Gantt)'!$H78</f>
        <v/>
      </c>
      <c r="G79" s="40">
        <f>MAX(0,MIN('Cronograma (Gantt)'!$J78,G$30)-MAX('Cronograma (Gantt)'!$I78,G$28)+1)*'Cronograma (Gantt)'!$G78/'Cronograma (Gantt)'!$H78</f>
        <v/>
      </c>
      <c r="H79" s="40">
        <f>MAX(0,MIN('Cronograma (Gantt)'!$J78,H$30)-MAX('Cronograma (Gantt)'!$I78,H$28)+1)*'Cronograma (Gantt)'!$G78/'Cronograma (Gantt)'!$H78</f>
        <v/>
      </c>
      <c r="I79" s="40">
        <f>MAX(0,MIN('Cronograma (Gantt)'!$J78,I$30)-MAX('Cronograma (Gantt)'!$I78,I$28)+1)*'Cronograma (Gantt)'!$G78/'Cronograma (Gantt)'!$H78</f>
        <v/>
      </c>
    </row>
    <row r="80">
      <c r="A80" t="n">
        <v>80</v>
      </c>
      <c r="B80">
        <f>'Cronograma (Gantt)'!F80</f>
        <v/>
      </c>
      <c r="C80" s="40">
        <f>MAX(0,MIN('Cronograma (Gantt)'!$J80,C$30)-MAX('Cronograma (Gantt)'!$I80,C$28)+1)*'Cronograma (Gantt)'!$G80/'Cronograma (Gantt)'!$H80</f>
        <v/>
      </c>
      <c r="D80" s="40">
        <f>MAX(0,MIN('Cronograma (Gantt)'!$J80,D$30)-MAX('Cronograma (Gantt)'!$I80,D$28)+1)*'Cronograma (Gantt)'!$G80/'Cronograma (Gantt)'!$H80</f>
        <v/>
      </c>
      <c r="E80" s="40">
        <f>MAX(0,MIN('Cronograma (Gantt)'!$J80,E$30)-MAX('Cronograma (Gantt)'!$I80,E$28)+1)*'Cronograma (Gantt)'!$G80/'Cronograma (Gantt)'!$H80</f>
        <v/>
      </c>
      <c r="F80" s="40">
        <f>MAX(0,MIN('Cronograma (Gantt)'!$J80,F$30)-MAX('Cronograma (Gantt)'!$I80,F$28)+1)*'Cronograma (Gantt)'!$G80/'Cronograma (Gantt)'!$H80</f>
        <v/>
      </c>
      <c r="G80" s="40">
        <f>MAX(0,MIN('Cronograma (Gantt)'!$J80,G$30)-MAX('Cronograma (Gantt)'!$I80,G$28)+1)*'Cronograma (Gantt)'!$G80/'Cronograma (Gantt)'!$H80</f>
        <v/>
      </c>
      <c r="H80" s="40">
        <f>MAX(0,MIN('Cronograma (Gantt)'!$J80,H$30)-MAX('Cronograma (Gantt)'!$I80,H$28)+1)*'Cronograma (Gantt)'!$G80/'Cronograma (Gantt)'!$H80</f>
        <v/>
      </c>
      <c r="I80" s="40">
        <f>MAX(0,MIN('Cronograma (Gantt)'!$J80,I$30)-MAX('Cronograma (Gantt)'!$I80,I$28)+1)*'Cronograma (Gantt)'!$G80/'Cronograma (Gantt)'!$H80</f>
        <v/>
      </c>
    </row>
    <row r="81">
      <c r="A81" t="n">
        <v>81</v>
      </c>
      <c r="B81">
        <f>'Cronograma (Gantt)'!F81</f>
        <v/>
      </c>
      <c r="C81" s="40">
        <f>MAX(0,MIN('Cronograma (Gantt)'!$J81,C$30)-MAX('Cronograma (Gantt)'!$I81,C$28)+1)*'Cronograma (Gantt)'!$G81/'Cronograma (Gantt)'!$H81</f>
        <v/>
      </c>
      <c r="D81" s="40">
        <f>MAX(0,MIN('Cronograma (Gantt)'!$J81,D$30)-MAX('Cronograma (Gantt)'!$I81,D$28)+1)*'Cronograma (Gantt)'!$G81/'Cronograma (Gantt)'!$H81</f>
        <v/>
      </c>
      <c r="E81" s="40">
        <f>MAX(0,MIN('Cronograma (Gantt)'!$J81,E$30)-MAX('Cronograma (Gantt)'!$I81,E$28)+1)*'Cronograma (Gantt)'!$G81/'Cronograma (Gantt)'!$H81</f>
        <v/>
      </c>
      <c r="F81" s="40">
        <f>MAX(0,MIN('Cronograma (Gantt)'!$J81,F$30)-MAX('Cronograma (Gantt)'!$I81,F$28)+1)*'Cronograma (Gantt)'!$G81/'Cronograma (Gantt)'!$H81</f>
        <v/>
      </c>
      <c r="G81" s="40">
        <f>MAX(0,MIN('Cronograma (Gantt)'!$J81,G$30)-MAX('Cronograma (Gantt)'!$I81,G$28)+1)*'Cronograma (Gantt)'!$G81/'Cronograma (Gantt)'!$H81</f>
        <v/>
      </c>
      <c r="H81" s="40">
        <f>MAX(0,MIN('Cronograma (Gantt)'!$J81,H$30)-MAX('Cronograma (Gantt)'!$I81,H$28)+1)*'Cronograma (Gantt)'!$G81/'Cronograma (Gantt)'!$H81</f>
        <v/>
      </c>
      <c r="I81" s="40">
        <f>MAX(0,MIN('Cronograma (Gantt)'!$J81,I$30)-MAX('Cronograma (Gantt)'!$I81,I$28)+1)*'Cronograma (Gantt)'!$G81/'Cronograma (Gantt)'!$H81</f>
        <v/>
      </c>
    </row>
    <row r="82">
      <c r="A82" t="n">
        <v>82</v>
      </c>
      <c r="B82">
        <f>'Cronograma (Gantt)'!F82</f>
        <v/>
      </c>
      <c r="C82" s="40">
        <f>MAX(0,MIN('Cronograma (Gantt)'!$J82,C$30)-MAX('Cronograma (Gantt)'!$I82,C$28)+1)*'Cronograma (Gantt)'!$G82/'Cronograma (Gantt)'!$H82</f>
        <v/>
      </c>
      <c r="D82" s="40">
        <f>MAX(0,MIN('Cronograma (Gantt)'!$J82,D$30)-MAX('Cronograma (Gantt)'!$I82,D$28)+1)*'Cronograma (Gantt)'!$G82/'Cronograma (Gantt)'!$H82</f>
        <v/>
      </c>
      <c r="E82" s="40">
        <f>MAX(0,MIN('Cronograma (Gantt)'!$J82,E$30)-MAX('Cronograma (Gantt)'!$I82,E$28)+1)*'Cronograma (Gantt)'!$G82/'Cronograma (Gantt)'!$H82</f>
        <v/>
      </c>
      <c r="F82" s="40">
        <f>MAX(0,MIN('Cronograma (Gantt)'!$J82,F$30)-MAX('Cronograma (Gantt)'!$I82,F$28)+1)*'Cronograma (Gantt)'!$G82/'Cronograma (Gantt)'!$H82</f>
        <v/>
      </c>
      <c r="G82" s="40">
        <f>MAX(0,MIN('Cronograma (Gantt)'!$J82,G$30)-MAX('Cronograma (Gantt)'!$I82,G$28)+1)*'Cronograma (Gantt)'!$G82/'Cronograma (Gantt)'!$H82</f>
        <v/>
      </c>
      <c r="H82" s="40">
        <f>MAX(0,MIN('Cronograma (Gantt)'!$J82,H$30)-MAX('Cronograma (Gantt)'!$I82,H$28)+1)*'Cronograma (Gantt)'!$G82/'Cronograma (Gantt)'!$H82</f>
        <v/>
      </c>
      <c r="I82" s="40">
        <f>MAX(0,MIN('Cronograma (Gantt)'!$J82,I$30)-MAX('Cronograma (Gantt)'!$I82,I$28)+1)*'Cronograma (Gantt)'!$G82/'Cronograma (Gantt)'!$H82</f>
        <v/>
      </c>
    </row>
    <row r="83">
      <c r="A83" t="n">
        <v>83</v>
      </c>
      <c r="B83">
        <f>'Cronograma (Gantt)'!F83</f>
        <v/>
      </c>
      <c r="C83" s="40">
        <f>MAX(0,MIN('Cronograma (Gantt)'!$J83,C$30)-MAX('Cronograma (Gantt)'!$I83,C$28)+1)*'Cronograma (Gantt)'!$G83/'Cronograma (Gantt)'!$H83</f>
        <v/>
      </c>
      <c r="D83" s="40">
        <f>MAX(0,MIN('Cronograma (Gantt)'!$J83,D$30)-MAX('Cronograma (Gantt)'!$I83,D$28)+1)*'Cronograma (Gantt)'!$G83/'Cronograma (Gantt)'!$H83</f>
        <v/>
      </c>
      <c r="E83" s="40">
        <f>MAX(0,MIN('Cronograma (Gantt)'!$J83,E$30)-MAX('Cronograma (Gantt)'!$I83,E$28)+1)*'Cronograma (Gantt)'!$G83/'Cronograma (Gantt)'!$H83</f>
        <v/>
      </c>
      <c r="F83" s="40">
        <f>MAX(0,MIN('Cronograma (Gantt)'!$J83,F$30)-MAX('Cronograma (Gantt)'!$I83,F$28)+1)*'Cronograma (Gantt)'!$G83/'Cronograma (Gantt)'!$H83</f>
        <v/>
      </c>
      <c r="G83" s="40">
        <f>MAX(0,MIN('Cronograma (Gantt)'!$J83,G$30)-MAX('Cronograma (Gantt)'!$I83,G$28)+1)*'Cronograma (Gantt)'!$G83/'Cronograma (Gantt)'!$H83</f>
        <v/>
      </c>
      <c r="H83" s="40">
        <f>MAX(0,MIN('Cronograma (Gantt)'!$J83,H$30)-MAX('Cronograma (Gantt)'!$I83,H$28)+1)*'Cronograma (Gantt)'!$G83/'Cronograma (Gantt)'!$H83</f>
        <v/>
      </c>
      <c r="I83" s="40">
        <f>MAX(0,MIN('Cronograma (Gantt)'!$J83,I$30)-MAX('Cronograma (Gantt)'!$I83,I$28)+1)*'Cronograma (Gantt)'!$G83/'Cronograma (Gantt)'!$H83</f>
        <v/>
      </c>
    </row>
    <row r="84">
      <c r="A84" t="n">
        <v>84</v>
      </c>
      <c r="B84">
        <f>'Cronograma (Gantt)'!F84</f>
        <v/>
      </c>
      <c r="C84" s="40">
        <f>MAX(0,MIN('Cronograma (Gantt)'!$J84,C$30)-MAX('Cronograma (Gantt)'!$I84,C$28)+1)*'Cronograma (Gantt)'!$G84/'Cronograma (Gantt)'!$H84</f>
        <v/>
      </c>
      <c r="D84" s="40">
        <f>MAX(0,MIN('Cronograma (Gantt)'!$J84,D$30)-MAX('Cronograma (Gantt)'!$I84,D$28)+1)*'Cronograma (Gantt)'!$G84/'Cronograma (Gantt)'!$H84</f>
        <v/>
      </c>
      <c r="E84" s="40">
        <f>MAX(0,MIN('Cronograma (Gantt)'!$J84,E$30)-MAX('Cronograma (Gantt)'!$I84,E$28)+1)*'Cronograma (Gantt)'!$G84/'Cronograma (Gantt)'!$H84</f>
        <v/>
      </c>
      <c r="F84" s="40">
        <f>MAX(0,MIN('Cronograma (Gantt)'!$J84,F$30)-MAX('Cronograma (Gantt)'!$I84,F$28)+1)*'Cronograma (Gantt)'!$G84/'Cronograma (Gantt)'!$H84</f>
        <v/>
      </c>
      <c r="G84" s="40">
        <f>MAX(0,MIN('Cronograma (Gantt)'!$J84,G$30)-MAX('Cronograma (Gantt)'!$I84,G$28)+1)*'Cronograma (Gantt)'!$G84/'Cronograma (Gantt)'!$H84</f>
        <v/>
      </c>
      <c r="H84" s="40">
        <f>MAX(0,MIN('Cronograma (Gantt)'!$J84,H$30)-MAX('Cronograma (Gantt)'!$I84,H$28)+1)*'Cronograma (Gantt)'!$G84/'Cronograma (Gantt)'!$H84</f>
        <v/>
      </c>
      <c r="I84" s="40">
        <f>MAX(0,MIN('Cronograma (Gantt)'!$J84,I$30)-MAX('Cronograma (Gantt)'!$I84,I$28)+1)*'Cronograma (Gantt)'!$G84/'Cronograma (Gantt)'!$H84</f>
        <v/>
      </c>
    </row>
    <row r="85">
      <c r="A85" t="n">
        <v>85</v>
      </c>
      <c r="B85">
        <f>'Cronograma (Gantt)'!F85</f>
        <v/>
      </c>
      <c r="C85" s="40">
        <f>MAX(0,MIN('Cronograma (Gantt)'!$J85,C$30)-MAX('Cronograma (Gantt)'!$I85,C$28)+1)*'Cronograma (Gantt)'!$G85/'Cronograma (Gantt)'!$H85</f>
        <v/>
      </c>
      <c r="D85" s="40">
        <f>MAX(0,MIN('Cronograma (Gantt)'!$J85,D$30)-MAX('Cronograma (Gantt)'!$I85,D$28)+1)*'Cronograma (Gantt)'!$G85/'Cronograma (Gantt)'!$H85</f>
        <v/>
      </c>
      <c r="E85" s="40">
        <f>MAX(0,MIN('Cronograma (Gantt)'!$J85,E$30)-MAX('Cronograma (Gantt)'!$I85,E$28)+1)*'Cronograma (Gantt)'!$G85/'Cronograma (Gantt)'!$H85</f>
        <v/>
      </c>
      <c r="F85" s="40">
        <f>MAX(0,MIN('Cronograma (Gantt)'!$J85,F$30)-MAX('Cronograma (Gantt)'!$I85,F$28)+1)*'Cronograma (Gantt)'!$G85/'Cronograma (Gantt)'!$H85</f>
        <v/>
      </c>
      <c r="G85" s="40">
        <f>MAX(0,MIN('Cronograma (Gantt)'!$J85,G$30)-MAX('Cronograma (Gantt)'!$I85,G$28)+1)*'Cronograma (Gantt)'!$G85/'Cronograma (Gantt)'!$H85</f>
        <v/>
      </c>
      <c r="H85" s="40">
        <f>MAX(0,MIN('Cronograma (Gantt)'!$J85,H$30)-MAX('Cronograma (Gantt)'!$I85,H$28)+1)*'Cronograma (Gantt)'!$G85/'Cronograma (Gantt)'!$H85</f>
        <v/>
      </c>
      <c r="I85" s="40">
        <f>MAX(0,MIN('Cronograma (Gantt)'!$J85,I$30)-MAX('Cronograma (Gantt)'!$I85,I$28)+1)*'Cronograma (Gantt)'!$G85/'Cronograma (Gantt)'!$H85</f>
        <v/>
      </c>
    </row>
    <row r="86">
      <c r="A86" t="n">
        <v>86</v>
      </c>
      <c r="B86">
        <f>'Cronograma (Gantt)'!F86</f>
        <v/>
      </c>
      <c r="C86" s="40">
        <f>MAX(0,MIN('Cronograma (Gantt)'!$J86,C$30)-MAX('Cronograma (Gantt)'!$I86,C$28)+1)*'Cronograma (Gantt)'!$G86/'Cronograma (Gantt)'!$H86</f>
        <v/>
      </c>
      <c r="D86" s="40">
        <f>MAX(0,MIN('Cronograma (Gantt)'!$J86,D$30)-MAX('Cronograma (Gantt)'!$I86,D$28)+1)*'Cronograma (Gantt)'!$G86/'Cronograma (Gantt)'!$H86</f>
        <v/>
      </c>
      <c r="E86" s="40">
        <f>MAX(0,MIN('Cronograma (Gantt)'!$J86,E$30)-MAX('Cronograma (Gantt)'!$I86,E$28)+1)*'Cronograma (Gantt)'!$G86/'Cronograma (Gantt)'!$H86</f>
        <v/>
      </c>
      <c r="F86" s="40">
        <f>MAX(0,MIN('Cronograma (Gantt)'!$J86,F$30)-MAX('Cronograma (Gantt)'!$I86,F$28)+1)*'Cronograma (Gantt)'!$G86/'Cronograma (Gantt)'!$H86</f>
        <v/>
      </c>
      <c r="G86" s="40">
        <f>MAX(0,MIN('Cronograma (Gantt)'!$J86,G$30)-MAX('Cronograma (Gantt)'!$I86,G$28)+1)*'Cronograma (Gantt)'!$G86/'Cronograma (Gantt)'!$H86</f>
        <v/>
      </c>
      <c r="H86" s="40">
        <f>MAX(0,MIN('Cronograma (Gantt)'!$J86,H$30)-MAX('Cronograma (Gantt)'!$I86,H$28)+1)*'Cronograma (Gantt)'!$G86/'Cronograma (Gantt)'!$H86</f>
        <v/>
      </c>
      <c r="I86" s="40">
        <f>MAX(0,MIN('Cronograma (Gantt)'!$J86,I$30)-MAX('Cronograma (Gantt)'!$I86,I$28)+1)*'Cronograma (Gantt)'!$G86/'Cronograma (Gantt)'!$H86</f>
        <v/>
      </c>
    </row>
    <row r="87">
      <c r="A87" t="n">
        <v>88</v>
      </c>
      <c r="B87">
        <f>'Cronograma (Gantt)'!F88</f>
        <v/>
      </c>
      <c r="C87" s="40">
        <f>MAX(0,MIN('Cronograma (Gantt)'!$J88,C$30)-MAX('Cronograma (Gantt)'!$I88,C$28)+1)*'Cronograma (Gantt)'!$G88/'Cronograma (Gantt)'!$H88</f>
        <v/>
      </c>
      <c r="D87" s="40">
        <f>MAX(0,MIN('Cronograma (Gantt)'!$J88,D$30)-MAX('Cronograma (Gantt)'!$I88,D$28)+1)*'Cronograma (Gantt)'!$G88/'Cronograma (Gantt)'!$H88</f>
        <v/>
      </c>
      <c r="E87" s="40">
        <f>MAX(0,MIN('Cronograma (Gantt)'!$J88,E$30)-MAX('Cronograma (Gantt)'!$I88,E$28)+1)*'Cronograma (Gantt)'!$G88/'Cronograma (Gantt)'!$H88</f>
        <v/>
      </c>
      <c r="F87" s="40">
        <f>MAX(0,MIN('Cronograma (Gantt)'!$J88,F$30)-MAX('Cronograma (Gantt)'!$I88,F$28)+1)*'Cronograma (Gantt)'!$G88/'Cronograma (Gantt)'!$H88</f>
        <v/>
      </c>
      <c r="G87" s="40">
        <f>MAX(0,MIN('Cronograma (Gantt)'!$J88,G$30)-MAX('Cronograma (Gantt)'!$I88,G$28)+1)*'Cronograma (Gantt)'!$G88/'Cronograma (Gantt)'!$H88</f>
        <v/>
      </c>
      <c r="H87" s="40">
        <f>MAX(0,MIN('Cronograma (Gantt)'!$J88,H$30)-MAX('Cronograma (Gantt)'!$I88,H$28)+1)*'Cronograma (Gantt)'!$G88/'Cronograma (Gantt)'!$H88</f>
        <v/>
      </c>
      <c r="I87" s="40">
        <f>MAX(0,MIN('Cronograma (Gantt)'!$J88,I$30)-MAX('Cronograma (Gantt)'!$I88,I$28)+1)*'Cronograma (Gantt)'!$G88/'Cronograma (Gantt)'!$H88</f>
        <v/>
      </c>
    </row>
    <row r="88">
      <c r="A88" t="n">
        <v>89</v>
      </c>
      <c r="B88">
        <f>'Cronograma (Gantt)'!F89</f>
        <v/>
      </c>
      <c r="C88" s="40">
        <f>MAX(0,MIN('Cronograma (Gantt)'!$J89,C$30)-MAX('Cronograma (Gantt)'!$I89,C$28)+1)*'Cronograma (Gantt)'!$G89/'Cronograma (Gantt)'!$H89</f>
        <v/>
      </c>
      <c r="D88" s="40">
        <f>MAX(0,MIN('Cronograma (Gantt)'!$J89,D$30)-MAX('Cronograma (Gantt)'!$I89,D$28)+1)*'Cronograma (Gantt)'!$G89/'Cronograma (Gantt)'!$H89</f>
        <v/>
      </c>
      <c r="E88" s="40">
        <f>MAX(0,MIN('Cronograma (Gantt)'!$J89,E$30)-MAX('Cronograma (Gantt)'!$I89,E$28)+1)*'Cronograma (Gantt)'!$G89/'Cronograma (Gantt)'!$H89</f>
        <v/>
      </c>
      <c r="F88" s="40">
        <f>MAX(0,MIN('Cronograma (Gantt)'!$J89,F$30)-MAX('Cronograma (Gantt)'!$I89,F$28)+1)*'Cronograma (Gantt)'!$G89/'Cronograma (Gantt)'!$H89</f>
        <v/>
      </c>
      <c r="G88" s="40">
        <f>MAX(0,MIN('Cronograma (Gantt)'!$J89,G$30)-MAX('Cronograma (Gantt)'!$I89,G$28)+1)*'Cronograma (Gantt)'!$G89/'Cronograma (Gantt)'!$H89</f>
        <v/>
      </c>
      <c r="H88" s="40">
        <f>MAX(0,MIN('Cronograma (Gantt)'!$J89,H$30)-MAX('Cronograma (Gantt)'!$I89,H$28)+1)*'Cronograma (Gantt)'!$G89/'Cronograma (Gantt)'!$H89</f>
        <v/>
      </c>
      <c r="I88" s="40">
        <f>MAX(0,MIN('Cronograma (Gantt)'!$J89,I$30)-MAX('Cronograma (Gantt)'!$I89,I$28)+1)*'Cronograma (Gantt)'!$G89/'Cronograma (Gantt)'!$H89</f>
        <v/>
      </c>
    </row>
    <row r="89">
      <c r="A89" t="n">
        <v>90</v>
      </c>
      <c r="B89">
        <f>'Cronograma (Gantt)'!F90</f>
        <v/>
      </c>
      <c r="C89" s="40">
        <f>MAX(0,MIN('Cronograma (Gantt)'!$J90,C$30)-MAX('Cronograma (Gantt)'!$I90,C$28)+1)*'Cronograma (Gantt)'!$G90/'Cronograma (Gantt)'!$H90</f>
        <v/>
      </c>
      <c r="D89" s="40">
        <f>MAX(0,MIN('Cronograma (Gantt)'!$J90,D$30)-MAX('Cronograma (Gantt)'!$I90,D$28)+1)*'Cronograma (Gantt)'!$G90/'Cronograma (Gantt)'!$H90</f>
        <v/>
      </c>
      <c r="E89" s="40">
        <f>MAX(0,MIN('Cronograma (Gantt)'!$J90,E$30)-MAX('Cronograma (Gantt)'!$I90,E$28)+1)*'Cronograma (Gantt)'!$G90/'Cronograma (Gantt)'!$H90</f>
        <v/>
      </c>
      <c r="F89" s="40">
        <f>MAX(0,MIN('Cronograma (Gantt)'!$J90,F$30)-MAX('Cronograma (Gantt)'!$I90,F$28)+1)*'Cronograma (Gantt)'!$G90/'Cronograma (Gantt)'!$H90</f>
        <v/>
      </c>
      <c r="G89" s="40">
        <f>MAX(0,MIN('Cronograma (Gantt)'!$J90,G$30)-MAX('Cronograma (Gantt)'!$I90,G$28)+1)*'Cronograma (Gantt)'!$G90/'Cronograma (Gantt)'!$H90</f>
        <v/>
      </c>
      <c r="H89" s="40">
        <f>MAX(0,MIN('Cronograma (Gantt)'!$J90,H$30)-MAX('Cronograma (Gantt)'!$I90,H$28)+1)*'Cronograma (Gantt)'!$G90/'Cronograma (Gantt)'!$H90</f>
        <v/>
      </c>
      <c r="I89" s="40">
        <f>MAX(0,MIN('Cronograma (Gantt)'!$J90,I$30)-MAX('Cronograma (Gantt)'!$I90,I$28)+1)*'Cronograma (Gantt)'!$G90/'Cronograma (Gantt)'!$H90</f>
        <v/>
      </c>
    </row>
    <row r="90">
      <c r="A90" t="n">
        <v>91</v>
      </c>
      <c r="B90">
        <f>'Cronograma (Gantt)'!F91</f>
        <v/>
      </c>
      <c r="C90" s="40">
        <f>MAX(0,MIN('Cronograma (Gantt)'!$J91,C$30)-MAX('Cronograma (Gantt)'!$I91,C$28)+1)*'Cronograma (Gantt)'!$G91/'Cronograma (Gantt)'!$H91</f>
        <v/>
      </c>
      <c r="D90" s="40">
        <f>MAX(0,MIN('Cronograma (Gantt)'!$J91,D$30)-MAX('Cronograma (Gantt)'!$I91,D$28)+1)*'Cronograma (Gantt)'!$G91/'Cronograma (Gantt)'!$H91</f>
        <v/>
      </c>
      <c r="E90" s="40">
        <f>MAX(0,MIN('Cronograma (Gantt)'!$J91,E$30)-MAX('Cronograma (Gantt)'!$I91,E$28)+1)*'Cronograma (Gantt)'!$G91/'Cronograma (Gantt)'!$H91</f>
        <v/>
      </c>
      <c r="F90" s="40">
        <f>MAX(0,MIN('Cronograma (Gantt)'!$J91,F$30)-MAX('Cronograma (Gantt)'!$I91,F$28)+1)*'Cronograma (Gantt)'!$G91/'Cronograma (Gantt)'!$H91</f>
        <v/>
      </c>
      <c r="G90" s="40">
        <f>MAX(0,MIN('Cronograma (Gantt)'!$J91,G$30)-MAX('Cronograma (Gantt)'!$I91,G$28)+1)*'Cronograma (Gantt)'!$G91/'Cronograma (Gantt)'!$H91</f>
        <v/>
      </c>
      <c r="H90" s="40">
        <f>MAX(0,MIN('Cronograma (Gantt)'!$J91,H$30)-MAX('Cronograma (Gantt)'!$I91,H$28)+1)*'Cronograma (Gantt)'!$G91/'Cronograma (Gantt)'!$H91</f>
        <v/>
      </c>
      <c r="I90" s="40">
        <f>MAX(0,MIN('Cronograma (Gantt)'!$J91,I$30)-MAX('Cronograma (Gantt)'!$I91,I$28)+1)*'Cronograma (Gantt)'!$G91/'Cronograma (Gantt)'!$H91</f>
        <v/>
      </c>
    </row>
    <row r="91">
      <c r="A91" t="n">
        <v>92</v>
      </c>
      <c r="B91">
        <f>'Cronograma (Gantt)'!F92</f>
        <v/>
      </c>
      <c r="C91" s="40">
        <f>MAX(0,MIN('Cronograma (Gantt)'!$J92,C$30)-MAX('Cronograma (Gantt)'!$I92,C$28)+1)*'Cronograma (Gantt)'!$G92/'Cronograma (Gantt)'!$H92</f>
        <v/>
      </c>
      <c r="D91" s="40">
        <f>MAX(0,MIN('Cronograma (Gantt)'!$J92,D$30)-MAX('Cronograma (Gantt)'!$I92,D$28)+1)*'Cronograma (Gantt)'!$G92/'Cronograma (Gantt)'!$H92</f>
        <v/>
      </c>
      <c r="E91" s="40">
        <f>MAX(0,MIN('Cronograma (Gantt)'!$J92,E$30)-MAX('Cronograma (Gantt)'!$I92,E$28)+1)*'Cronograma (Gantt)'!$G92/'Cronograma (Gantt)'!$H92</f>
        <v/>
      </c>
      <c r="F91" s="40">
        <f>MAX(0,MIN('Cronograma (Gantt)'!$J92,F$30)-MAX('Cronograma (Gantt)'!$I92,F$28)+1)*'Cronograma (Gantt)'!$G92/'Cronograma (Gantt)'!$H92</f>
        <v/>
      </c>
      <c r="G91" s="40">
        <f>MAX(0,MIN('Cronograma (Gantt)'!$J92,G$30)-MAX('Cronograma (Gantt)'!$I92,G$28)+1)*'Cronograma (Gantt)'!$G92/'Cronograma (Gantt)'!$H92</f>
        <v/>
      </c>
      <c r="H91" s="40">
        <f>MAX(0,MIN('Cronograma (Gantt)'!$J92,H$30)-MAX('Cronograma (Gantt)'!$I92,H$28)+1)*'Cronograma (Gantt)'!$G92/'Cronograma (Gantt)'!$H92</f>
        <v/>
      </c>
      <c r="I91" s="40">
        <f>MAX(0,MIN('Cronograma (Gantt)'!$J92,I$30)-MAX('Cronograma (Gantt)'!$I92,I$28)+1)*'Cronograma (Gantt)'!$G92/'Cronograma (Gantt)'!$H92</f>
        <v/>
      </c>
    </row>
    <row r="92">
      <c r="A92" t="n">
        <v>93</v>
      </c>
      <c r="B92">
        <f>'Cronograma (Gantt)'!F93</f>
        <v/>
      </c>
      <c r="C92" s="40">
        <f>MAX(0,MIN('Cronograma (Gantt)'!$J93,C$30)-MAX('Cronograma (Gantt)'!$I93,C$28)+1)*'Cronograma (Gantt)'!$G93/'Cronograma (Gantt)'!$H93</f>
        <v/>
      </c>
      <c r="D92" s="40">
        <f>MAX(0,MIN('Cronograma (Gantt)'!$J93,D$30)-MAX('Cronograma (Gantt)'!$I93,D$28)+1)*'Cronograma (Gantt)'!$G93/'Cronograma (Gantt)'!$H93</f>
        <v/>
      </c>
      <c r="E92" s="40">
        <f>MAX(0,MIN('Cronograma (Gantt)'!$J93,E$30)-MAX('Cronograma (Gantt)'!$I93,E$28)+1)*'Cronograma (Gantt)'!$G93/'Cronograma (Gantt)'!$H93</f>
        <v/>
      </c>
      <c r="F92" s="40">
        <f>MAX(0,MIN('Cronograma (Gantt)'!$J93,F$30)-MAX('Cronograma (Gantt)'!$I93,F$28)+1)*'Cronograma (Gantt)'!$G93/'Cronograma (Gantt)'!$H93</f>
        <v/>
      </c>
      <c r="G92" s="40">
        <f>MAX(0,MIN('Cronograma (Gantt)'!$J93,G$30)-MAX('Cronograma (Gantt)'!$I93,G$28)+1)*'Cronograma (Gantt)'!$G93/'Cronograma (Gantt)'!$H93</f>
        <v/>
      </c>
      <c r="H92" s="40">
        <f>MAX(0,MIN('Cronograma (Gantt)'!$J93,H$30)-MAX('Cronograma (Gantt)'!$I93,H$28)+1)*'Cronograma (Gantt)'!$G93/'Cronograma (Gantt)'!$H93</f>
        <v/>
      </c>
      <c r="I92" s="40">
        <f>MAX(0,MIN('Cronograma (Gantt)'!$J93,I$30)-MAX('Cronograma (Gantt)'!$I93,I$28)+1)*'Cronograma (Gantt)'!$G93/'Cronograma (Gantt)'!$H93</f>
        <v/>
      </c>
    </row>
    <row r="93">
      <c r="A93" t="n">
        <v>94</v>
      </c>
      <c r="B93">
        <f>'Cronograma (Gantt)'!F94</f>
        <v/>
      </c>
      <c r="C93" s="40">
        <f>MAX(0,MIN('Cronograma (Gantt)'!$J94,C$30)-MAX('Cronograma (Gantt)'!$I94,C$28)+1)*'Cronograma (Gantt)'!$G94/'Cronograma (Gantt)'!$H94</f>
        <v/>
      </c>
      <c r="D93" s="40">
        <f>MAX(0,MIN('Cronograma (Gantt)'!$J94,D$30)-MAX('Cronograma (Gantt)'!$I94,D$28)+1)*'Cronograma (Gantt)'!$G94/'Cronograma (Gantt)'!$H94</f>
        <v/>
      </c>
      <c r="E93" s="40">
        <f>MAX(0,MIN('Cronograma (Gantt)'!$J94,E$30)-MAX('Cronograma (Gantt)'!$I94,E$28)+1)*'Cronograma (Gantt)'!$G94/'Cronograma (Gantt)'!$H94</f>
        <v/>
      </c>
      <c r="F93" s="40">
        <f>MAX(0,MIN('Cronograma (Gantt)'!$J94,F$30)-MAX('Cronograma (Gantt)'!$I94,F$28)+1)*'Cronograma (Gantt)'!$G94/'Cronograma (Gantt)'!$H94</f>
        <v/>
      </c>
      <c r="G93" s="40">
        <f>MAX(0,MIN('Cronograma (Gantt)'!$J94,G$30)-MAX('Cronograma (Gantt)'!$I94,G$28)+1)*'Cronograma (Gantt)'!$G94/'Cronograma (Gantt)'!$H94</f>
        <v/>
      </c>
      <c r="H93" s="40">
        <f>MAX(0,MIN('Cronograma (Gantt)'!$J94,H$30)-MAX('Cronograma (Gantt)'!$I94,H$28)+1)*'Cronograma (Gantt)'!$G94/'Cronograma (Gantt)'!$H94</f>
        <v/>
      </c>
      <c r="I93" s="40">
        <f>MAX(0,MIN('Cronograma (Gantt)'!$J94,I$30)-MAX('Cronograma (Gantt)'!$I94,I$28)+1)*'Cronograma (Gantt)'!$G94/'Cronograma (Gantt)'!$H94</f>
        <v/>
      </c>
    </row>
    <row r="94">
      <c r="A94" t="n">
        <v>95</v>
      </c>
      <c r="B94">
        <f>'Cronograma (Gantt)'!F95</f>
        <v/>
      </c>
      <c r="C94" s="40">
        <f>MAX(0,MIN('Cronograma (Gantt)'!$J95,C$30)-MAX('Cronograma (Gantt)'!$I95,C$28)+1)*'Cronograma (Gantt)'!$G95/'Cronograma (Gantt)'!$H95</f>
        <v/>
      </c>
      <c r="D94" s="40">
        <f>MAX(0,MIN('Cronograma (Gantt)'!$J95,D$30)-MAX('Cronograma (Gantt)'!$I95,D$28)+1)*'Cronograma (Gantt)'!$G95/'Cronograma (Gantt)'!$H95</f>
        <v/>
      </c>
      <c r="E94" s="40">
        <f>MAX(0,MIN('Cronograma (Gantt)'!$J95,E$30)-MAX('Cronograma (Gantt)'!$I95,E$28)+1)*'Cronograma (Gantt)'!$G95/'Cronograma (Gantt)'!$H95</f>
        <v/>
      </c>
      <c r="F94" s="40">
        <f>MAX(0,MIN('Cronograma (Gantt)'!$J95,F$30)-MAX('Cronograma (Gantt)'!$I95,F$28)+1)*'Cronograma (Gantt)'!$G95/'Cronograma (Gantt)'!$H95</f>
        <v/>
      </c>
      <c r="G94" s="40">
        <f>MAX(0,MIN('Cronograma (Gantt)'!$J95,G$30)-MAX('Cronograma (Gantt)'!$I95,G$28)+1)*'Cronograma (Gantt)'!$G95/'Cronograma (Gantt)'!$H95</f>
        <v/>
      </c>
      <c r="H94" s="40">
        <f>MAX(0,MIN('Cronograma (Gantt)'!$J95,H$30)-MAX('Cronograma (Gantt)'!$I95,H$28)+1)*'Cronograma (Gantt)'!$G95/'Cronograma (Gantt)'!$H95</f>
        <v/>
      </c>
      <c r="I94" s="40">
        <f>MAX(0,MIN('Cronograma (Gantt)'!$J95,I$30)-MAX('Cronograma (Gantt)'!$I95,I$28)+1)*'Cronograma (Gantt)'!$G95/'Cronograma (Gantt)'!$H95</f>
        <v/>
      </c>
    </row>
    <row r="95">
      <c r="A95" t="n">
        <v>96</v>
      </c>
      <c r="B95">
        <f>'Cronograma (Gantt)'!F96</f>
        <v/>
      </c>
      <c r="C95" s="40">
        <f>MAX(0,MIN('Cronograma (Gantt)'!$J96,C$30)-MAX('Cronograma (Gantt)'!$I96,C$28)+1)*'Cronograma (Gantt)'!$G96/'Cronograma (Gantt)'!$H96</f>
        <v/>
      </c>
      <c r="D95" s="40">
        <f>MAX(0,MIN('Cronograma (Gantt)'!$J96,D$30)-MAX('Cronograma (Gantt)'!$I96,D$28)+1)*'Cronograma (Gantt)'!$G96/'Cronograma (Gantt)'!$H96</f>
        <v/>
      </c>
      <c r="E95" s="40">
        <f>MAX(0,MIN('Cronograma (Gantt)'!$J96,E$30)-MAX('Cronograma (Gantt)'!$I96,E$28)+1)*'Cronograma (Gantt)'!$G96/'Cronograma (Gantt)'!$H96</f>
        <v/>
      </c>
      <c r="F95" s="40">
        <f>MAX(0,MIN('Cronograma (Gantt)'!$J96,F$30)-MAX('Cronograma (Gantt)'!$I96,F$28)+1)*'Cronograma (Gantt)'!$G96/'Cronograma (Gantt)'!$H96</f>
        <v/>
      </c>
      <c r="G95" s="40">
        <f>MAX(0,MIN('Cronograma (Gantt)'!$J96,G$30)-MAX('Cronograma (Gantt)'!$I96,G$28)+1)*'Cronograma (Gantt)'!$G96/'Cronograma (Gantt)'!$H96</f>
        <v/>
      </c>
      <c r="H95" s="40">
        <f>MAX(0,MIN('Cronograma (Gantt)'!$J96,H$30)-MAX('Cronograma (Gantt)'!$I96,H$28)+1)*'Cronograma (Gantt)'!$G96/'Cronograma (Gantt)'!$H96</f>
        <v/>
      </c>
      <c r="I95" s="40">
        <f>MAX(0,MIN('Cronograma (Gantt)'!$J96,I$30)-MAX('Cronograma (Gantt)'!$I96,I$28)+1)*'Cronograma (Gantt)'!$G96/'Cronograma (Gantt)'!$H96</f>
        <v/>
      </c>
    </row>
    <row r="96">
      <c r="A96" t="n">
        <v>97</v>
      </c>
      <c r="B96">
        <f>'Cronograma (Gantt)'!F97</f>
        <v/>
      </c>
      <c r="C96" s="40">
        <f>MAX(0,MIN('Cronograma (Gantt)'!$J97,C$30)-MAX('Cronograma (Gantt)'!$I97,C$28)+1)*'Cronograma (Gantt)'!$G97/'Cronograma (Gantt)'!$H97</f>
        <v/>
      </c>
      <c r="D96" s="40">
        <f>MAX(0,MIN('Cronograma (Gantt)'!$J97,D$30)-MAX('Cronograma (Gantt)'!$I97,D$28)+1)*'Cronograma (Gantt)'!$G97/'Cronograma (Gantt)'!$H97</f>
        <v/>
      </c>
      <c r="E96" s="40">
        <f>MAX(0,MIN('Cronograma (Gantt)'!$J97,E$30)-MAX('Cronograma (Gantt)'!$I97,E$28)+1)*'Cronograma (Gantt)'!$G97/'Cronograma (Gantt)'!$H97</f>
        <v/>
      </c>
      <c r="F96" s="40">
        <f>MAX(0,MIN('Cronograma (Gantt)'!$J97,F$30)-MAX('Cronograma (Gantt)'!$I97,F$28)+1)*'Cronograma (Gantt)'!$G97/'Cronograma (Gantt)'!$H97</f>
        <v/>
      </c>
      <c r="G96" s="40">
        <f>MAX(0,MIN('Cronograma (Gantt)'!$J97,G$30)-MAX('Cronograma (Gantt)'!$I97,G$28)+1)*'Cronograma (Gantt)'!$G97/'Cronograma (Gantt)'!$H97</f>
        <v/>
      </c>
      <c r="H96" s="40">
        <f>MAX(0,MIN('Cronograma (Gantt)'!$J97,H$30)-MAX('Cronograma (Gantt)'!$I97,H$28)+1)*'Cronograma (Gantt)'!$G97/'Cronograma (Gantt)'!$H97</f>
        <v/>
      </c>
      <c r="I96" s="40">
        <f>MAX(0,MIN('Cronograma (Gantt)'!$J97,I$30)-MAX('Cronograma (Gantt)'!$I97,I$28)+1)*'Cronograma (Gantt)'!$G97/'Cronograma (Gantt)'!$H97</f>
        <v/>
      </c>
    </row>
    <row r="97">
      <c r="A97" t="n">
        <v>98</v>
      </c>
      <c r="B97">
        <f>'Cronograma (Gantt)'!F98</f>
        <v/>
      </c>
      <c r="C97" s="40">
        <f>MAX(0,MIN('Cronograma (Gantt)'!$J98,C$30)-MAX('Cronograma (Gantt)'!$I98,C$28)+1)*'Cronograma (Gantt)'!$G98/'Cronograma (Gantt)'!$H98</f>
        <v/>
      </c>
      <c r="D97" s="40">
        <f>MAX(0,MIN('Cronograma (Gantt)'!$J98,D$30)-MAX('Cronograma (Gantt)'!$I98,D$28)+1)*'Cronograma (Gantt)'!$G98/'Cronograma (Gantt)'!$H98</f>
        <v/>
      </c>
      <c r="E97" s="40">
        <f>MAX(0,MIN('Cronograma (Gantt)'!$J98,E$30)-MAX('Cronograma (Gantt)'!$I98,E$28)+1)*'Cronograma (Gantt)'!$G98/'Cronograma (Gantt)'!$H98</f>
        <v/>
      </c>
      <c r="F97" s="40">
        <f>MAX(0,MIN('Cronograma (Gantt)'!$J98,F$30)-MAX('Cronograma (Gantt)'!$I98,F$28)+1)*'Cronograma (Gantt)'!$G98/'Cronograma (Gantt)'!$H98</f>
        <v/>
      </c>
      <c r="G97" s="40">
        <f>MAX(0,MIN('Cronograma (Gantt)'!$J98,G$30)-MAX('Cronograma (Gantt)'!$I98,G$28)+1)*'Cronograma (Gantt)'!$G98/'Cronograma (Gantt)'!$H98</f>
        <v/>
      </c>
      <c r="H97" s="40">
        <f>MAX(0,MIN('Cronograma (Gantt)'!$J98,H$30)-MAX('Cronograma (Gantt)'!$I98,H$28)+1)*'Cronograma (Gantt)'!$G98/'Cronograma (Gantt)'!$H98</f>
        <v/>
      </c>
      <c r="I97" s="40">
        <f>MAX(0,MIN('Cronograma (Gantt)'!$J98,I$30)-MAX('Cronograma (Gantt)'!$I98,I$28)+1)*'Cronograma (Gantt)'!$G98/'Cronograma (Gantt)'!$H98</f>
        <v/>
      </c>
    </row>
    <row r="98">
      <c r="A98" t="n">
        <v>99</v>
      </c>
      <c r="B98">
        <f>'Cronograma (Gantt)'!F99</f>
        <v/>
      </c>
      <c r="C98" s="40">
        <f>MAX(0,MIN('Cronograma (Gantt)'!$J99,C$30)-MAX('Cronograma (Gantt)'!$I99,C$28)+1)*'Cronograma (Gantt)'!$G99/'Cronograma (Gantt)'!$H99</f>
        <v/>
      </c>
      <c r="D98" s="40">
        <f>MAX(0,MIN('Cronograma (Gantt)'!$J99,D$30)-MAX('Cronograma (Gantt)'!$I99,D$28)+1)*'Cronograma (Gantt)'!$G99/'Cronograma (Gantt)'!$H99</f>
        <v/>
      </c>
      <c r="E98" s="40">
        <f>MAX(0,MIN('Cronograma (Gantt)'!$J99,E$30)-MAX('Cronograma (Gantt)'!$I99,E$28)+1)*'Cronograma (Gantt)'!$G99/'Cronograma (Gantt)'!$H99</f>
        <v/>
      </c>
      <c r="F98" s="40">
        <f>MAX(0,MIN('Cronograma (Gantt)'!$J99,F$30)-MAX('Cronograma (Gantt)'!$I99,F$28)+1)*'Cronograma (Gantt)'!$G99/'Cronograma (Gantt)'!$H99</f>
        <v/>
      </c>
      <c r="G98" s="40">
        <f>MAX(0,MIN('Cronograma (Gantt)'!$J99,G$30)-MAX('Cronograma (Gantt)'!$I99,G$28)+1)*'Cronograma (Gantt)'!$G99/'Cronograma (Gantt)'!$H99</f>
        <v/>
      </c>
      <c r="H98" s="40">
        <f>MAX(0,MIN('Cronograma (Gantt)'!$J99,H$30)-MAX('Cronograma (Gantt)'!$I99,H$28)+1)*'Cronograma (Gantt)'!$G99/'Cronograma (Gantt)'!$H99</f>
        <v/>
      </c>
      <c r="I98" s="40">
        <f>MAX(0,MIN('Cronograma (Gantt)'!$J99,I$30)-MAX('Cronograma (Gantt)'!$I99,I$28)+1)*'Cronograma (Gantt)'!$G99/'Cronograma (Gantt)'!$H99</f>
        <v/>
      </c>
    </row>
    <row r="99">
      <c r="A99" t="n">
        <v>100</v>
      </c>
      <c r="B99">
        <f>'Cronograma (Gantt)'!F100</f>
        <v/>
      </c>
      <c r="C99" s="40">
        <f>MAX(0,MIN('Cronograma (Gantt)'!$J100,C$30)-MAX('Cronograma (Gantt)'!$I100,C$28)+1)*'Cronograma (Gantt)'!$G100/'Cronograma (Gantt)'!$H100</f>
        <v/>
      </c>
      <c r="D99" s="40">
        <f>MAX(0,MIN('Cronograma (Gantt)'!$J100,D$30)-MAX('Cronograma (Gantt)'!$I100,D$28)+1)*'Cronograma (Gantt)'!$G100/'Cronograma (Gantt)'!$H100</f>
        <v/>
      </c>
      <c r="E99" s="40">
        <f>MAX(0,MIN('Cronograma (Gantt)'!$J100,E$30)-MAX('Cronograma (Gantt)'!$I100,E$28)+1)*'Cronograma (Gantt)'!$G100/'Cronograma (Gantt)'!$H100</f>
        <v/>
      </c>
      <c r="F99" s="40">
        <f>MAX(0,MIN('Cronograma (Gantt)'!$J100,F$30)-MAX('Cronograma (Gantt)'!$I100,F$28)+1)*'Cronograma (Gantt)'!$G100/'Cronograma (Gantt)'!$H100</f>
        <v/>
      </c>
      <c r="G99" s="40">
        <f>MAX(0,MIN('Cronograma (Gantt)'!$J100,G$30)-MAX('Cronograma (Gantt)'!$I100,G$28)+1)*'Cronograma (Gantt)'!$G100/'Cronograma (Gantt)'!$H100</f>
        <v/>
      </c>
      <c r="H99" s="40">
        <f>MAX(0,MIN('Cronograma (Gantt)'!$J100,H$30)-MAX('Cronograma (Gantt)'!$I100,H$28)+1)*'Cronograma (Gantt)'!$G100/'Cronograma (Gantt)'!$H100</f>
        <v/>
      </c>
      <c r="I99" s="40">
        <f>MAX(0,MIN('Cronograma (Gantt)'!$J100,I$30)-MAX('Cronograma (Gantt)'!$I100,I$28)+1)*'Cronograma (Gantt)'!$G100/'Cronograma (Gantt)'!$H100</f>
        <v/>
      </c>
    </row>
    <row r="100">
      <c r="A100" t="n">
        <v>102</v>
      </c>
      <c r="B100">
        <f>'Cronograma (Gantt)'!F102</f>
        <v/>
      </c>
      <c r="C100" s="40">
        <f>MAX(0,MIN('Cronograma (Gantt)'!$J102,C$30)-MAX('Cronograma (Gantt)'!$I102,C$28)+1)*'Cronograma (Gantt)'!$G102/'Cronograma (Gantt)'!$H102</f>
        <v/>
      </c>
      <c r="D100" s="40">
        <f>MAX(0,MIN('Cronograma (Gantt)'!$J102,D$30)-MAX('Cronograma (Gantt)'!$I102,D$28)+1)*'Cronograma (Gantt)'!$G102/'Cronograma (Gantt)'!$H102</f>
        <v/>
      </c>
      <c r="E100" s="40">
        <f>MAX(0,MIN('Cronograma (Gantt)'!$J102,E$30)-MAX('Cronograma (Gantt)'!$I102,E$28)+1)*'Cronograma (Gantt)'!$G102/'Cronograma (Gantt)'!$H102</f>
        <v/>
      </c>
      <c r="F100" s="40">
        <f>MAX(0,MIN('Cronograma (Gantt)'!$J102,F$30)-MAX('Cronograma (Gantt)'!$I102,F$28)+1)*'Cronograma (Gantt)'!$G102/'Cronograma (Gantt)'!$H102</f>
        <v/>
      </c>
      <c r="G100" s="40">
        <f>MAX(0,MIN('Cronograma (Gantt)'!$J102,G$30)-MAX('Cronograma (Gantt)'!$I102,G$28)+1)*'Cronograma (Gantt)'!$G102/'Cronograma (Gantt)'!$H102</f>
        <v/>
      </c>
      <c r="H100" s="40">
        <f>MAX(0,MIN('Cronograma (Gantt)'!$J102,H$30)-MAX('Cronograma (Gantt)'!$I102,H$28)+1)*'Cronograma (Gantt)'!$G102/'Cronograma (Gantt)'!$H102</f>
        <v/>
      </c>
      <c r="I100" s="40">
        <f>MAX(0,MIN('Cronograma (Gantt)'!$J102,I$30)-MAX('Cronograma (Gantt)'!$I102,I$28)+1)*'Cronograma (Gantt)'!$G102/'Cronograma (Gantt)'!$H102</f>
        <v/>
      </c>
    </row>
    <row r="101">
      <c r="A101" t="n">
        <v>103</v>
      </c>
      <c r="B101">
        <f>'Cronograma (Gantt)'!F103</f>
        <v/>
      </c>
      <c r="C101" s="40">
        <f>MAX(0,MIN('Cronograma (Gantt)'!$J103,C$30)-MAX('Cronograma (Gantt)'!$I103,C$28)+1)*'Cronograma (Gantt)'!$G103/'Cronograma (Gantt)'!$H103</f>
        <v/>
      </c>
      <c r="D101" s="40">
        <f>MAX(0,MIN('Cronograma (Gantt)'!$J103,D$30)-MAX('Cronograma (Gantt)'!$I103,D$28)+1)*'Cronograma (Gantt)'!$G103/'Cronograma (Gantt)'!$H103</f>
        <v/>
      </c>
      <c r="E101" s="40">
        <f>MAX(0,MIN('Cronograma (Gantt)'!$J103,E$30)-MAX('Cronograma (Gantt)'!$I103,E$28)+1)*'Cronograma (Gantt)'!$G103/'Cronograma (Gantt)'!$H103</f>
        <v/>
      </c>
      <c r="F101" s="40">
        <f>MAX(0,MIN('Cronograma (Gantt)'!$J103,F$30)-MAX('Cronograma (Gantt)'!$I103,F$28)+1)*'Cronograma (Gantt)'!$G103/'Cronograma (Gantt)'!$H103</f>
        <v/>
      </c>
      <c r="G101" s="40">
        <f>MAX(0,MIN('Cronograma (Gantt)'!$J103,G$30)-MAX('Cronograma (Gantt)'!$I103,G$28)+1)*'Cronograma (Gantt)'!$G103/'Cronograma (Gantt)'!$H103</f>
        <v/>
      </c>
      <c r="H101" s="40">
        <f>MAX(0,MIN('Cronograma (Gantt)'!$J103,H$30)-MAX('Cronograma (Gantt)'!$I103,H$28)+1)*'Cronograma (Gantt)'!$G103/'Cronograma (Gantt)'!$H103</f>
        <v/>
      </c>
      <c r="I101" s="40">
        <f>MAX(0,MIN('Cronograma (Gantt)'!$J103,I$30)-MAX('Cronograma (Gantt)'!$I103,I$28)+1)*'Cronograma (Gantt)'!$G103/'Cronograma (Gantt)'!$H103</f>
        <v/>
      </c>
    </row>
    <row r="102">
      <c r="A102" t="n">
        <v>104</v>
      </c>
      <c r="B102">
        <f>'Cronograma (Gantt)'!F104</f>
        <v/>
      </c>
      <c r="C102" s="40">
        <f>MAX(0,MIN('Cronograma (Gantt)'!$J104,C$30)-MAX('Cronograma (Gantt)'!$I104,C$28)+1)*'Cronograma (Gantt)'!$G104/'Cronograma (Gantt)'!$H104</f>
        <v/>
      </c>
      <c r="D102" s="40">
        <f>MAX(0,MIN('Cronograma (Gantt)'!$J104,D$30)-MAX('Cronograma (Gantt)'!$I104,D$28)+1)*'Cronograma (Gantt)'!$G104/'Cronograma (Gantt)'!$H104</f>
        <v/>
      </c>
      <c r="E102" s="40">
        <f>MAX(0,MIN('Cronograma (Gantt)'!$J104,E$30)-MAX('Cronograma (Gantt)'!$I104,E$28)+1)*'Cronograma (Gantt)'!$G104/'Cronograma (Gantt)'!$H104</f>
        <v/>
      </c>
      <c r="F102" s="40">
        <f>MAX(0,MIN('Cronograma (Gantt)'!$J104,F$30)-MAX('Cronograma (Gantt)'!$I104,F$28)+1)*'Cronograma (Gantt)'!$G104/'Cronograma (Gantt)'!$H104</f>
        <v/>
      </c>
      <c r="G102" s="40">
        <f>MAX(0,MIN('Cronograma (Gantt)'!$J104,G$30)-MAX('Cronograma (Gantt)'!$I104,G$28)+1)*'Cronograma (Gantt)'!$G104/'Cronograma (Gantt)'!$H104</f>
        <v/>
      </c>
      <c r="H102" s="40">
        <f>MAX(0,MIN('Cronograma (Gantt)'!$J104,H$30)-MAX('Cronograma (Gantt)'!$I104,H$28)+1)*'Cronograma (Gantt)'!$G104/'Cronograma (Gantt)'!$H104</f>
        <v/>
      </c>
      <c r="I102" s="40">
        <f>MAX(0,MIN('Cronograma (Gantt)'!$J104,I$30)-MAX('Cronograma (Gantt)'!$I104,I$28)+1)*'Cronograma (Gantt)'!$G104/'Cronograma (Gantt)'!$H104</f>
        <v/>
      </c>
    </row>
    <row r="103">
      <c r="A103" t="n">
        <v>105</v>
      </c>
      <c r="B103">
        <f>'Cronograma (Gantt)'!F105</f>
        <v/>
      </c>
      <c r="C103" s="40">
        <f>MAX(0,MIN('Cronograma (Gantt)'!$J105,C$30)-MAX('Cronograma (Gantt)'!$I105,C$28)+1)*'Cronograma (Gantt)'!$G105/'Cronograma (Gantt)'!$H105</f>
        <v/>
      </c>
      <c r="D103" s="40">
        <f>MAX(0,MIN('Cronograma (Gantt)'!$J105,D$30)-MAX('Cronograma (Gantt)'!$I105,D$28)+1)*'Cronograma (Gantt)'!$G105/'Cronograma (Gantt)'!$H105</f>
        <v/>
      </c>
      <c r="E103" s="40">
        <f>MAX(0,MIN('Cronograma (Gantt)'!$J105,E$30)-MAX('Cronograma (Gantt)'!$I105,E$28)+1)*'Cronograma (Gantt)'!$G105/'Cronograma (Gantt)'!$H105</f>
        <v/>
      </c>
      <c r="F103" s="40">
        <f>MAX(0,MIN('Cronograma (Gantt)'!$J105,F$30)-MAX('Cronograma (Gantt)'!$I105,F$28)+1)*'Cronograma (Gantt)'!$G105/'Cronograma (Gantt)'!$H105</f>
        <v/>
      </c>
      <c r="G103" s="40">
        <f>MAX(0,MIN('Cronograma (Gantt)'!$J105,G$30)-MAX('Cronograma (Gantt)'!$I105,G$28)+1)*'Cronograma (Gantt)'!$G105/'Cronograma (Gantt)'!$H105</f>
        <v/>
      </c>
      <c r="H103" s="40">
        <f>MAX(0,MIN('Cronograma (Gantt)'!$J105,H$30)-MAX('Cronograma (Gantt)'!$I105,H$28)+1)*'Cronograma (Gantt)'!$G105/'Cronograma (Gantt)'!$H105</f>
        <v/>
      </c>
      <c r="I103" s="40">
        <f>MAX(0,MIN('Cronograma (Gantt)'!$J105,I$30)-MAX('Cronograma (Gantt)'!$I105,I$28)+1)*'Cronograma (Gantt)'!$G105/'Cronograma (Gantt)'!$H105</f>
        <v/>
      </c>
    </row>
    <row r="104">
      <c r="A104" t="n">
        <v>106</v>
      </c>
      <c r="B104">
        <f>'Cronograma (Gantt)'!F106</f>
        <v/>
      </c>
      <c r="C104" s="40">
        <f>MAX(0,MIN('Cronograma (Gantt)'!$J106,C$30)-MAX('Cronograma (Gantt)'!$I106,C$28)+1)*'Cronograma (Gantt)'!$G106/'Cronograma (Gantt)'!$H106</f>
        <v/>
      </c>
      <c r="D104" s="40">
        <f>MAX(0,MIN('Cronograma (Gantt)'!$J106,D$30)-MAX('Cronograma (Gantt)'!$I106,D$28)+1)*'Cronograma (Gantt)'!$G106/'Cronograma (Gantt)'!$H106</f>
        <v/>
      </c>
      <c r="E104" s="40">
        <f>MAX(0,MIN('Cronograma (Gantt)'!$J106,E$30)-MAX('Cronograma (Gantt)'!$I106,E$28)+1)*'Cronograma (Gantt)'!$G106/'Cronograma (Gantt)'!$H106</f>
        <v/>
      </c>
      <c r="F104" s="40">
        <f>MAX(0,MIN('Cronograma (Gantt)'!$J106,F$30)-MAX('Cronograma (Gantt)'!$I106,F$28)+1)*'Cronograma (Gantt)'!$G106/'Cronograma (Gantt)'!$H106</f>
        <v/>
      </c>
      <c r="G104" s="40">
        <f>MAX(0,MIN('Cronograma (Gantt)'!$J106,G$30)-MAX('Cronograma (Gantt)'!$I106,G$28)+1)*'Cronograma (Gantt)'!$G106/'Cronograma (Gantt)'!$H106</f>
        <v/>
      </c>
      <c r="H104" s="40">
        <f>MAX(0,MIN('Cronograma (Gantt)'!$J106,H$30)-MAX('Cronograma (Gantt)'!$I106,H$28)+1)*'Cronograma (Gantt)'!$G106/'Cronograma (Gantt)'!$H106</f>
        <v/>
      </c>
      <c r="I104" s="40">
        <f>MAX(0,MIN('Cronograma (Gantt)'!$J106,I$30)-MAX('Cronograma (Gantt)'!$I106,I$28)+1)*'Cronograma (Gantt)'!$G106/'Cronograma (Gantt)'!$H106</f>
        <v/>
      </c>
    </row>
    <row r="105">
      <c r="A105" t="n">
        <v>108</v>
      </c>
      <c r="B105">
        <f>'Cronograma (Gantt)'!F108</f>
        <v/>
      </c>
      <c r="C105" s="40">
        <f>MAX(0,MIN('Cronograma (Gantt)'!$J108,C$30)-MAX('Cronograma (Gantt)'!$I108,C$28)+1)*'Cronograma (Gantt)'!$G108/'Cronograma (Gantt)'!$H108</f>
        <v/>
      </c>
      <c r="D105" s="40">
        <f>MAX(0,MIN('Cronograma (Gantt)'!$J108,D$30)-MAX('Cronograma (Gantt)'!$I108,D$28)+1)*'Cronograma (Gantt)'!$G108/'Cronograma (Gantt)'!$H108</f>
        <v/>
      </c>
      <c r="E105" s="40">
        <f>MAX(0,MIN('Cronograma (Gantt)'!$J108,E$30)-MAX('Cronograma (Gantt)'!$I108,E$28)+1)*'Cronograma (Gantt)'!$G108/'Cronograma (Gantt)'!$H108</f>
        <v/>
      </c>
      <c r="F105" s="40">
        <f>MAX(0,MIN('Cronograma (Gantt)'!$J108,F$30)-MAX('Cronograma (Gantt)'!$I108,F$28)+1)*'Cronograma (Gantt)'!$G108/'Cronograma (Gantt)'!$H108</f>
        <v/>
      </c>
      <c r="G105" s="40">
        <f>MAX(0,MIN('Cronograma (Gantt)'!$J108,G$30)-MAX('Cronograma (Gantt)'!$I108,G$28)+1)*'Cronograma (Gantt)'!$G108/'Cronograma (Gantt)'!$H108</f>
        <v/>
      </c>
      <c r="H105" s="40">
        <f>MAX(0,MIN('Cronograma (Gantt)'!$J108,H$30)-MAX('Cronograma (Gantt)'!$I108,H$28)+1)*'Cronograma (Gantt)'!$G108/'Cronograma (Gantt)'!$H108</f>
        <v/>
      </c>
      <c r="I105" s="40">
        <f>MAX(0,MIN('Cronograma (Gantt)'!$J108,I$30)-MAX('Cronograma (Gantt)'!$I108,I$28)+1)*'Cronograma (Gantt)'!$G108/'Cronograma (Gantt)'!$H108</f>
        <v/>
      </c>
    </row>
    <row r="106">
      <c r="A106" t="n">
        <v>109</v>
      </c>
      <c r="B106">
        <f>'Cronograma (Gantt)'!F109</f>
        <v/>
      </c>
      <c r="C106" s="40">
        <f>MAX(0,MIN('Cronograma (Gantt)'!$J109,C$30)-MAX('Cronograma (Gantt)'!$I109,C$28)+1)*'Cronograma (Gantt)'!$G109/'Cronograma (Gantt)'!$H109</f>
        <v/>
      </c>
      <c r="D106" s="40">
        <f>MAX(0,MIN('Cronograma (Gantt)'!$J109,D$30)-MAX('Cronograma (Gantt)'!$I109,D$28)+1)*'Cronograma (Gantt)'!$G109/'Cronograma (Gantt)'!$H109</f>
        <v/>
      </c>
      <c r="E106" s="40">
        <f>MAX(0,MIN('Cronograma (Gantt)'!$J109,E$30)-MAX('Cronograma (Gantt)'!$I109,E$28)+1)*'Cronograma (Gantt)'!$G109/'Cronograma (Gantt)'!$H109</f>
        <v/>
      </c>
      <c r="F106" s="40">
        <f>MAX(0,MIN('Cronograma (Gantt)'!$J109,F$30)-MAX('Cronograma (Gantt)'!$I109,F$28)+1)*'Cronograma (Gantt)'!$G109/'Cronograma (Gantt)'!$H109</f>
        <v/>
      </c>
      <c r="G106" s="40">
        <f>MAX(0,MIN('Cronograma (Gantt)'!$J109,G$30)-MAX('Cronograma (Gantt)'!$I109,G$28)+1)*'Cronograma (Gantt)'!$G109/'Cronograma (Gantt)'!$H109</f>
        <v/>
      </c>
      <c r="H106" s="40">
        <f>MAX(0,MIN('Cronograma (Gantt)'!$J109,H$30)-MAX('Cronograma (Gantt)'!$I109,H$28)+1)*'Cronograma (Gantt)'!$G109/'Cronograma (Gantt)'!$H109</f>
        <v/>
      </c>
      <c r="I106" s="40">
        <f>MAX(0,MIN('Cronograma (Gantt)'!$J109,I$30)-MAX('Cronograma (Gantt)'!$I109,I$28)+1)*'Cronograma (Gantt)'!$G109/'Cronograma (Gantt)'!$H109</f>
        <v/>
      </c>
    </row>
    <row r="107">
      <c r="A107" t="n">
        <v>110</v>
      </c>
      <c r="B107">
        <f>'Cronograma (Gantt)'!F110</f>
        <v/>
      </c>
      <c r="C107" s="40">
        <f>MAX(0,MIN('Cronograma (Gantt)'!$J110,C$30)-MAX('Cronograma (Gantt)'!$I110,C$28)+1)*'Cronograma (Gantt)'!$G110/'Cronograma (Gantt)'!$H110</f>
        <v/>
      </c>
      <c r="D107" s="40">
        <f>MAX(0,MIN('Cronograma (Gantt)'!$J110,D$30)-MAX('Cronograma (Gantt)'!$I110,D$28)+1)*'Cronograma (Gantt)'!$G110/'Cronograma (Gantt)'!$H110</f>
        <v/>
      </c>
      <c r="E107" s="40">
        <f>MAX(0,MIN('Cronograma (Gantt)'!$J110,E$30)-MAX('Cronograma (Gantt)'!$I110,E$28)+1)*'Cronograma (Gantt)'!$G110/'Cronograma (Gantt)'!$H110</f>
        <v/>
      </c>
      <c r="F107" s="40">
        <f>MAX(0,MIN('Cronograma (Gantt)'!$J110,F$30)-MAX('Cronograma (Gantt)'!$I110,F$28)+1)*'Cronograma (Gantt)'!$G110/'Cronograma (Gantt)'!$H110</f>
        <v/>
      </c>
      <c r="G107" s="40">
        <f>MAX(0,MIN('Cronograma (Gantt)'!$J110,G$30)-MAX('Cronograma (Gantt)'!$I110,G$28)+1)*'Cronograma (Gantt)'!$G110/'Cronograma (Gantt)'!$H110</f>
        <v/>
      </c>
      <c r="H107" s="40">
        <f>MAX(0,MIN('Cronograma (Gantt)'!$J110,H$30)-MAX('Cronograma (Gantt)'!$I110,H$28)+1)*'Cronograma (Gantt)'!$G110/'Cronograma (Gantt)'!$H110</f>
        <v/>
      </c>
      <c r="I107" s="40">
        <f>MAX(0,MIN('Cronograma (Gantt)'!$J110,I$30)-MAX('Cronograma (Gantt)'!$I110,I$28)+1)*'Cronograma (Gantt)'!$G110/'Cronograma (Gantt)'!$H110</f>
        <v/>
      </c>
    </row>
    <row r="108">
      <c r="A108" t="n">
        <v>111</v>
      </c>
      <c r="B108">
        <f>'Cronograma (Gantt)'!F111</f>
        <v/>
      </c>
      <c r="C108" s="40">
        <f>MAX(0,MIN('Cronograma (Gantt)'!$J111,C$30)-MAX('Cronograma (Gantt)'!$I111,C$28)+1)*'Cronograma (Gantt)'!$G111/'Cronograma (Gantt)'!$H111</f>
        <v/>
      </c>
      <c r="D108" s="40">
        <f>MAX(0,MIN('Cronograma (Gantt)'!$J111,D$30)-MAX('Cronograma (Gantt)'!$I111,D$28)+1)*'Cronograma (Gantt)'!$G111/'Cronograma (Gantt)'!$H111</f>
        <v/>
      </c>
      <c r="E108" s="40">
        <f>MAX(0,MIN('Cronograma (Gantt)'!$J111,E$30)-MAX('Cronograma (Gantt)'!$I111,E$28)+1)*'Cronograma (Gantt)'!$G111/'Cronograma (Gantt)'!$H111</f>
        <v/>
      </c>
      <c r="F108" s="40">
        <f>MAX(0,MIN('Cronograma (Gantt)'!$J111,F$30)-MAX('Cronograma (Gantt)'!$I111,F$28)+1)*'Cronograma (Gantt)'!$G111/'Cronograma (Gantt)'!$H111</f>
        <v/>
      </c>
      <c r="G108" s="40">
        <f>MAX(0,MIN('Cronograma (Gantt)'!$J111,G$30)-MAX('Cronograma (Gantt)'!$I111,G$28)+1)*'Cronograma (Gantt)'!$G111/'Cronograma (Gantt)'!$H111</f>
        <v/>
      </c>
      <c r="H108" s="40">
        <f>MAX(0,MIN('Cronograma (Gantt)'!$J111,H$30)-MAX('Cronograma (Gantt)'!$I111,H$28)+1)*'Cronograma (Gantt)'!$G111/'Cronograma (Gantt)'!$H111</f>
        <v/>
      </c>
      <c r="I108" s="40">
        <f>MAX(0,MIN('Cronograma (Gantt)'!$J111,I$30)-MAX('Cronograma (Gantt)'!$I111,I$28)+1)*'Cronograma (Gantt)'!$G111/'Cronograma (Gantt)'!$H111</f>
        <v/>
      </c>
    </row>
  </sheetData>
  <conditionalFormatting sqref="B6:H10">
    <cfRule type="expression" priority="1" dxfId="4">
      <formula>B6&gt;$E$3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s="24" t="inlineStr">
        <is>
          <t>Supuestos del cronograma y reserva</t>
        </is>
      </c>
    </row>
    <row r="3">
      <c r="A3" s="29" t="inlineStr">
        <is>
          <t>Calendario</t>
        </is>
      </c>
      <c r="B3" s="41" t="inlineStr">
        <is>
          <t>7 días por semana (el equipo también trabaja fines de semana). Fechas de entrega del curso: domingos a las 23:59.</t>
        </is>
      </c>
    </row>
    <row r="4">
      <c r="A4" s="29" t="inlineStr">
        <is>
          <t>Dedicación</t>
        </is>
      </c>
      <c r="B4" s="41" t="inlineStr">
        <is>
          <t>3 horas por persona y día (≈ 21 h/semana) durante diseño, construcción y pruebas. Es mayor que las 8 h/semana supuestas en el Acta: ver el Plan de Gestión del Cronograma.</t>
        </is>
      </c>
    </row>
    <row r="5">
      <c r="A5" s="29" t="inlineStr">
        <is>
          <t>Duración</t>
        </is>
      </c>
      <c r="B5" s="41" t="inlineStr">
        <is>
          <t>Duración (días) = esfuerzo estimado ÷ (3 h/día), redondeado hacia arriba. El esfuerzo proviene de la Plantilla MoSCoW v1.3.</t>
        </is>
      </c>
    </row>
    <row r="6">
      <c r="A6" s="29" t="inlineStr">
        <is>
          <t>Dependencias</t>
        </is>
      </c>
      <c r="B6" s="41" t="inlineStr">
        <is>
          <t>Fin a inicio (FS). Además, una persona no ejecuta dos actividades a la vez (programación con recursos).</t>
        </is>
      </c>
    </row>
    <row r="7">
      <c r="A7" s="29" t="inlineStr">
        <is>
          <t>Ciclos TSP</t>
        </is>
      </c>
      <c r="B7" s="41" t="inlineStr">
        <is>
          <t>Ciclo 1: hasta el 25/10 (v0.5). Ciclo 2: hasta el 15/11 (v0.9). Ciclo 3: hasta el 22/11. Cierre: 23/11–29/11 (v1.0).</t>
        </is>
      </c>
    </row>
    <row r="8">
      <c r="A8" s="29" t="inlineStr">
        <is>
          <t>Fecha final</t>
        </is>
      </c>
      <c r="B8" s="41" t="inlineStr">
        <is>
          <t>Se asume el 29/11/2026 como fecha de entrega final del curso (por confirmar con el docente).</t>
        </is>
      </c>
    </row>
    <row r="9">
      <c r="A9" s="29" t="inlineStr">
        <is>
          <t>Holgura</t>
        </is>
      </c>
      <c r="B9" s="41" t="inlineStr">
        <is>
          <t>Las actividades de cierre terminan el 26/11: quedan 3 días de holgura antes del hito final.</t>
        </is>
      </c>
    </row>
    <row r="11">
      <c r="A11" s="29" t="inlineStr">
        <is>
          <t>Reserva (requisitos Could): no se programan en la línea base; se ejecutan solo si hay capacidad al final del ciclo 3.</t>
        </is>
      </c>
    </row>
    <row r="12">
      <c r="A12" s="31" t="inlineStr">
        <is>
          <t>ID</t>
        </is>
      </c>
      <c r="B12" s="31" t="inlineStr">
        <is>
          <t>EDT</t>
        </is>
      </c>
      <c r="C12" s="31" t="inlineStr">
        <is>
          <t>Actividad</t>
        </is>
      </c>
      <c r="D12" s="31" t="inlineStr">
        <is>
          <t>Esfuerzo (h)</t>
        </is>
      </c>
      <c r="E12" s="31" t="inlineStr">
        <is>
          <t>Responsable</t>
        </is>
      </c>
    </row>
    <row r="13">
      <c r="A13" s="42" t="inlineStr">
        <is>
          <t>4107</t>
        </is>
      </c>
      <c r="B13" s="42" t="inlineStr">
        <is>
          <t>4.1.7</t>
        </is>
      </c>
      <c r="C13" s="42" t="inlineStr">
        <is>
          <t>Simular la insuflación y la deformación de paredes (RF-03.7)</t>
        </is>
      </c>
      <c r="D13" s="42" t="n">
        <v>16</v>
      </c>
      <c r="E13" s="42" t="inlineStr">
        <is>
          <t>Cristian Cruz</t>
        </is>
      </c>
    </row>
    <row r="14">
      <c r="A14" s="42" t="inlineStr">
        <is>
          <t>4303</t>
        </is>
      </c>
      <c r="B14" s="42" t="inlineStr">
        <is>
          <t>4.3.3</t>
        </is>
      </c>
      <c r="C14" s="42" t="inlineStr">
        <is>
          <t>Generar el mapa de calor Grad-CAM (RF-06.3)</t>
        </is>
      </c>
      <c r="D14" s="42" t="n">
        <v>8</v>
      </c>
      <c r="E14" s="42" t="inlineStr">
        <is>
          <t>Diego Agudelo</t>
        </is>
      </c>
    </row>
    <row r="15">
      <c r="A15" s="42" t="inlineStr">
        <is>
          <t>4211</t>
        </is>
      </c>
      <c r="B15" s="42" t="inlineStr">
        <is>
          <t>4.2.11</t>
        </is>
      </c>
      <c r="C15" s="42" t="inlineStr">
        <is>
          <t>Implementar el reporte de caso incorrecto (RF-14.7)</t>
        </is>
      </c>
      <c r="D15" s="42" t="n">
        <v>3</v>
      </c>
      <c r="E15" s="42" t="inlineStr">
        <is>
          <t>Emmanuel Ospina</t>
        </is>
      </c>
    </row>
    <row r="16">
      <c r="A16" s="42" t="inlineStr">
        <is>
          <t>4508</t>
        </is>
      </c>
      <c r="B16" s="42" t="inlineStr">
        <is>
          <t>4.5.8</t>
        </is>
      </c>
      <c r="C16" s="42" t="inlineStr">
        <is>
          <t>Desarrollar la tabla de clasificación (RF-16)</t>
        </is>
      </c>
      <c r="D16" s="42" t="n">
        <v>6</v>
      </c>
      <c r="E16" s="42" t="inlineStr">
        <is>
          <t>Diego Agudelo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2026-10-11T17:06:57Z</dcterms:created>
  <dcterms:modified xmlns:dcterms="http://purl.org/dc/terms/" xmlns:xsi="http://www.w3.org/2001/XMLSchema-instance" xsi:type="dcterms:W3CDTF">2026-10-11T17:06:57Z</dcterms:modified>
</cp:coreProperties>
</file>