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mmanuelospinagiraldo/Downloads/GASTRO-SIM Casos de uso y MoSCoW/"/>
    </mc:Choice>
  </mc:AlternateContent>
  <xr:revisionPtr revIDLastSave="0" documentId="13_ncr:1_{BB73CB5E-EF89-4145-B1AB-4C0483839BB4}" xr6:coauthVersionLast="47" xr6:coauthVersionMax="47" xr10:uidLastSave="{00000000-0000-0000-0000-000000000000}"/>
  <bookViews>
    <workbookView xWindow="0" yWindow="660" windowWidth="29400" windowHeight="17360" xr2:uid="{00000000-000D-0000-FFFF-FFFF00000000}"/>
  </bookViews>
  <sheets>
    <sheet name="Priorización MoSCoW" sheetId="1" r:id="rId1"/>
    <sheet name="Resumen y control" sheetId="2" r:id="rId2"/>
    <sheet name="Tablero MoSCoW" sheetId="3" r:id="rId3"/>
    <sheet name="Criterios" sheetId="4" r:id="rId4"/>
    <sheet name="Casos de uso" sheetId="5" r:id="rId5"/>
  </sheets>
  <definedNames>
    <definedName name="_xlnm._FilterDatabase" localSheetId="0" hidden="1">'Priorización MoSCoW'!$A$10:$N$66</definedName>
    <definedName name="_xlnm.Print_Titles" localSheetId="0">'Priorización MoSCoW'!$10:$10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F7" i="2"/>
  <c r="C7" i="2"/>
  <c r="B7" i="2"/>
  <c r="D7" i="2" s="1"/>
  <c r="F6" i="2"/>
  <c r="C6" i="2"/>
  <c r="B6" i="2"/>
  <c r="D6" i="2" s="1"/>
  <c r="F5" i="2"/>
  <c r="C5" i="2"/>
  <c r="B5" i="2"/>
  <c r="F4" i="2"/>
  <c r="D21" i="2" s="1"/>
  <c r="C4" i="2"/>
  <c r="B4" i="2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B8" i="2" l="1"/>
  <c r="D5" i="2"/>
  <c r="C8" i="2"/>
  <c r="D22" i="2"/>
  <c r="F8" i="2"/>
  <c r="G7" i="2" s="1"/>
  <c r="D4" i="2"/>
  <c r="G4" i="2" l="1"/>
  <c r="D8" i="2"/>
  <c r="E4" i="2"/>
  <c r="G6" i="2"/>
  <c r="G5" i="2"/>
  <c r="E5" i="2" l="1"/>
  <c r="E6" i="2"/>
  <c r="E7" i="2"/>
  <c r="E8" i="2"/>
  <c r="D13" i="2"/>
  <c r="D14" i="2" s="1"/>
  <c r="G8" i="2"/>
</calcChain>
</file>

<file path=xl/sharedStrings.xml><?xml version="1.0" encoding="utf-8"?>
<sst xmlns="http://schemas.openxmlformats.org/spreadsheetml/2006/main" count="868" uniqueCount="334">
  <si>
    <t>Plantilla de priorización de requisitos – Método MoSCoW</t>
  </si>
  <si>
    <t>Proyecto:</t>
  </si>
  <si>
    <t>GASTRO-SIM – Simulador web 3D para el entrenamiento de la toma de decisiones humano–IA en escenarios gastrointestinales</t>
  </si>
  <si>
    <t>Código de proyecto:</t>
  </si>
  <si>
    <t>GPT01-2026B-GASTRO-SIM (Equipo ITEVOLUTION)</t>
  </si>
  <si>
    <t>Versión / fecha:</t>
  </si>
  <si>
    <t>1.3 · 11/10/2026 (v1.1: 2FA; v1.2: casos generados por IA; v1.3: categorías verificadas una a una contra la Matriz de Trazabilidad v1.3)</t>
  </si>
  <si>
    <t>Elaborado por:</t>
  </si>
  <si>
    <t>Equipo ITEVOLUTION – Director de Proyecto: Emmanuel Ospina Giraldo</t>
  </si>
  <si>
    <t>Aprobado por:</t>
  </si>
  <si>
    <t>Jair E. Sanclemente Castro – Propietario del Proyecto (Product Owner)   ·   Fecha de aprobación: ____________</t>
  </si>
  <si>
    <t>Fuente:</t>
  </si>
  <si>
    <t>Matriz de Trazabilidad de Requisitos v1.3 y Diagrama de Casos de Uso v1.3. Esfuerzo: estimación inicial, a ajustar en el lanzamiento TSP.</t>
  </si>
  <si>
    <t>ID</t>
  </si>
  <si>
    <t>Requisito (resumen)</t>
  </si>
  <si>
    <t>Tipo</t>
  </si>
  <si>
    <t>Caso(s) de uso</t>
  </si>
  <si>
    <t>Entregable EDT</t>
  </si>
  <si>
    <t>Valor para el usuario (1–5)</t>
  </si>
  <si>
    <t>Riesgo de no incluirlo (1–5)</t>
  </si>
  <si>
    <t>Puntaje (valor × riesgo)</t>
  </si>
  <si>
    <t>Esfuerzo estimado (h)</t>
  </si>
  <si>
    <t>Categoría MoSCoW</t>
  </si>
  <si>
    <t>Justificación de la categoría</t>
  </si>
  <si>
    <t>Ciclo TSP / versión objetivo</t>
  </si>
  <si>
    <t>Responsable</t>
  </si>
  <si>
    <t>Estado</t>
  </si>
  <si>
    <t>RF-01.1</t>
  </si>
  <si>
    <t>Permitir que una persona se registre con correo electrónico y contraseña; la cuenta nueva tendrá rol de estudiante.</t>
  </si>
  <si>
    <t>RF</t>
  </si>
  <si>
    <t>UC-01</t>
  </si>
  <si>
    <t>4.6 Plataforma e integración</t>
  </si>
  <si>
    <t>Must</t>
  </si>
  <si>
    <t>Sin cuentas no se pueden asociar intentos ni desempeño a cada estudiante.</t>
  </si>
  <si>
    <t>Ciclo 1–2 (v0.5 / v0.9)</t>
  </si>
  <si>
    <t>Diego Agudelo</t>
  </si>
  <si>
    <t>Propuesto</t>
  </si>
  <si>
    <t>RF-01.2</t>
  </si>
  <si>
    <t>Permitir iniciar y cerrar sesión, y mantener la sesión activa mientras el usuario navega.</t>
  </si>
  <si>
    <t>UC-02</t>
  </si>
  <si>
    <t>El acceso controlado protege los datos registrados y separa las funciones del docente.</t>
  </si>
  <si>
    <t>RF-01.3</t>
  </si>
  <si>
    <t>Permitir que un docente/administrador asigne o retire el rol de docente a otra cuenta.</t>
  </si>
  <si>
    <t>UC-23</t>
  </si>
  <si>
    <t>Should</t>
  </si>
  <si>
    <t>Al inicio los roles pueden asignarse directamente en la base de datos; la pantalla es una comodidad.</t>
  </si>
  <si>
    <t>Ciclo 2–3 (v0.9 / v1.0)</t>
  </si>
  <si>
    <t>RF-01.4</t>
  </si>
  <si>
    <t>Mostrar al primer ingreso el aviso de uso académico (no diagnóstico) y la autorización de tratamiento de datos, y registrar su aceptación.</t>
  </si>
  <si>
    <t>UC-05</t>
  </si>
  <si>
    <t>Exigido por la Ley 1581 de 2012: sin consentimiento no se pueden registrar datos de los participantes.</t>
  </si>
  <si>
    <t>RF-01.5</t>
  </si>
  <si>
    <t>Exigir verificación en dos pasos (2FA) en cada inicio de sesión: después de la contraseña, el usuario ingresará un código temporal de 6 dígitos…</t>
  </si>
  <si>
    <t>UC-03</t>
  </si>
  <si>
    <t>Exigido por el Product Owner: todo acceso debe tener verificación en dos pasos para proteger los datos de los participantes.</t>
  </si>
  <si>
    <t>RF-01.6</t>
  </si>
  <si>
    <t>Guiar la activación del 2FA en el primer ingreso (código QR para la aplicación autenticadora) y entregar 10 códigos de recuperación de un solo uso.</t>
  </si>
  <si>
    <t>UC-04</t>
  </si>
  <si>
    <t>Sin activación guiada y códigos de recuperación, el 2FA no se puede usar ni recuperar; es parte indispensable de RF-01.5.</t>
  </si>
  <si>
    <t>RF-01.7</t>
  </si>
  <si>
    <t>Permitir que un administrador restablezca el 2FA de una cuenta que perdió su aplicación autenticadora y sus códigos, dejando registro de la acción.</t>
  </si>
  <si>
    <t>Evita cuentas bloqueadas de forma permanente; mientras no exista, el restablecimiento puede hacerse en la consola del proveedor.</t>
  </si>
  <si>
    <t>RF-02.1</t>
  </si>
  <si>
    <t>Permitir al estudiante solicitar un caso nuevo eligiendo el nivel de dificultad (básico, intermedio o avanzado).</t>
  </si>
  <si>
    <t>UC-08</t>
  </si>
  <si>
    <t>4.2 Generador de casos con IA</t>
  </si>
  <si>
    <t>Es la entrada al simulador: sin poder pedir un caso el estudiante no tiene nada que practicar.</t>
  </si>
  <si>
    <t>Emmanuel Ospina</t>
  </si>
  <si>
    <t>RF-02.2</t>
  </si>
  <si>
    <t>Permitir elegir la región anatómica del caso (esófago, estómago o duodeno); si el estudiante no la elige, el sistema la asigna al azar.</t>
  </si>
  <si>
    <t>UC-06</t>
  </si>
  <si>
    <t>Si no se elige, el sistema asigna la región; elegirla ayuda a practicar una zona concreta.</t>
  </si>
  <si>
    <t>RF-02.3</t>
  </si>
  <si>
    <t>Mostrar el historial de casos resueltos por el estudiante y permitir repetir un caso guardado.</t>
  </si>
  <si>
    <t>UC-07</t>
  </si>
  <si>
    <t>Repetir casos refuerza el aprendizaje, pero el flujo principal funciona sin historial.</t>
  </si>
  <si>
    <t>RF-03.1</t>
  </si>
  <si>
    <t>Mostrar en el navegador una escena 3D navegable del esófago, el estómago y el duodeno, sin instalar software adicional.</t>
  </si>
  <si>
    <t>UC-10</t>
  </si>
  <si>
    <t>4.1 Simulador 3D</t>
  </si>
  <si>
    <t>El profesor exige un simulador 3D; es el núcleo del producto.</t>
  </si>
  <si>
    <t>Cristian Cruz</t>
  </si>
  <si>
    <t>RF-03.2</t>
  </si>
  <si>
    <t>Permitir controlar el endoscopio virtual: avanzar, retroceder y orientar la punta, con teclado y con mouse.</t>
  </si>
  <si>
    <t>Sin control del endoscopio no hay simulación.</t>
  </si>
  <si>
    <t>RF-03.3</t>
  </si>
  <si>
    <t>Marcar como visitados los hitos anatómicos (línea Z, cardias, fondo, cuerpo, antro, píloro y bulbo duodenal) cuando el endoscopio pase por ellos.</t>
  </si>
  <si>
    <t>Permite medir la calidad de la exploración (cobertura de hitos), una métrica propia de la endoscopia.</t>
  </si>
  <si>
    <t>RF-03.4</t>
  </si>
  <si>
    <t>Mostrar en la escena 3D el hallazgo del caso en la ubicación asignada automáticamente por el generador de casos (RF-14.3).</t>
  </si>
  <si>
    <t>UC-09, UC-10</t>
  </si>
  <si>
    <t>Sin hallazgos ubicados en la escena no hay nada que encontrar en la simulación.</t>
  </si>
  <si>
    <t>RF-03.5</t>
  </si>
  <si>
    <t>Permitir capturar un hallazgo visible en el campo de visión; al capturarlo se abre el panel de análisis del caso con la imagen endoscópica asociada.</t>
  </si>
  <si>
    <t>UC-08, UC-11</t>
  </si>
  <si>
    <t>Une la exploración 3D con el flujo de decisión.</t>
  </si>
  <si>
    <t>RF-03.6</t>
  </si>
  <si>
    <t>Mostrar un minimapa con la posición actual del endoscopio dentro del tracto gastrointestinal.</t>
  </si>
  <si>
    <t>UC-12</t>
  </si>
  <si>
    <t>Facilita la orientación, pero el recorrido es posible sin él.</t>
  </si>
  <si>
    <t>RF-03.7</t>
  </si>
  <si>
    <t>(Opcional) simular la insuflación y la deformación de las paredes durante el recorrido.</t>
  </si>
  <si>
    <t>—</t>
  </si>
  <si>
    <t>Could</t>
  </si>
  <si>
    <t>Aumenta el realismo, con alto costo y riesgo de rendimiento.</t>
  </si>
  <si>
    <t>Ciclo 3 (v1.0), si hay capacidad</t>
  </si>
  <si>
    <t>RF-04</t>
  </si>
  <si>
    <t>Presentar el caso con la historia clínica sintética redactada por el agente de IA, la imagen endoscópica asociada al hallazgo y el aviso de uso…</t>
  </si>
  <si>
    <t>El caso clínico es el contexto mínimo para que la decisión tenga sentido educativo.</t>
  </si>
  <si>
    <t>RF-05</t>
  </si>
  <si>
    <t>Exigir que el usuario registre su decisión inicial y su nivel de confianza (1 a 5) antes de mostrar la recomendación de la IA.</t>
  </si>
  <si>
    <t>UC-13</t>
  </si>
  <si>
    <t>4.5 Evaluación, gamificación y registro</t>
  </si>
  <si>
    <t>Sin decisión previa a la IA no se puede medir la dependencia del usuario.</t>
  </si>
  <si>
    <t>RF-06.1</t>
  </si>
  <si>
    <t>Mostrar la clase sugerida por la IA y su porcentaje de confianza.</t>
  </si>
  <si>
    <t>UC-14</t>
  </si>
  <si>
    <t>4.3 Componente de IA de visión</t>
  </si>
  <si>
    <t>Sin la recomendación de la IA no existe la interacción humano–IA que se quiere estudiar.</t>
  </si>
  <si>
    <t>RF-06.2</t>
  </si>
  <si>
    <t>Marcar sobre la imagen la región de interés (ROI) en la que se basa la recomendación.</t>
  </si>
  <si>
    <t>La región de interés es la forma de mostrar en qué se basa la IA, como pide el documento ONCO-AI.</t>
  </si>
  <si>
    <t>RF-06.3</t>
  </si>
  <si>
    <t>(Opcional) mostrar un mapa de calor (Grad-CAM) como explicación visual de la recomendación.</t>
  </si>
  <si>
    <t>UC-15</t>
  </si>
  <si>
    <t>Explicabilidad adicional; la ROI ya cumple la función principal.</t>
  </si>
  <si>
    <t>RF-07.1</t>
  </si>
  <si>
    <t>Permitir conversar con el tutor; cada respuesta tendrá en cuenta la historia clínica, la decisión inicial del usuario y la recomendación mostrada.</t>
  </si>
  <si>
    <t>UC-16</t>
  </si>
  <si>
    <t>4.4 Agente tutor e inyección de errores</t>
  </si>
  <si>
    <t>El agente tutor es uno de los componentes exigidos para los módulos SIM.</t>
  </si>
  <si>
    <t>RF-07.2</t>
  </si>
  <si>
    <t>El tutor no debe revelar la respuesta de referencia antes de que el usuario registre su decisión final.</t>
  </si>
  <si>
    <t>Si el tutor revela la respuesta, se invalida la medición de la decisión del estudiante.</t>
  </si>
  <si>
    <t>RF-07.3</t>
  </si>
  <si>
    <t>Mostrar un mensaje de respaldo y permitir continuar el caso cuando el servicio del modelo de lenguaje no responda.</t>
  </si>
  <si>
    <t>Evita que una falla del proveedor externo bloquee el caso durante pruebas o demostración.</t>
  </si>
  <si>
    <t>RF-08.1</t>
  </si>
  <si>
    <t>Permitir al docente configurar el porcentaje de intentos con recomendación alterada, entre 0 % y 50 %.</t>
  </si>
  <si>
    <t>UC-22</t>
  </si>
  <si>
    <t>La inyección de errores es lo que permite estudiar la detección de errores de la IA.</t>
  </si>
  <si>
    <t>RF-08.2</t>
  </si>
  <si>
    <t>Permitir elegir el tipo de alteración: clase incorrecta, confianza alterada o región de interés desplazada.</t>
  </si>
  <si>
    <t>Variar el tipo de error permite estudiar qué errores de la IA detecta mejor el usuario.</t>
  </si>
  <si>
    <t>RF-08.3</t>
  </si>
  <si>
    <t>Registrar en cada intento si la recomendación fue alterada y de qué forma, sin mostrarlo al usuario antes de la retroalimentación.</t>
  </si>
  <si>
    <t>Sin saber qué recomendaciones fueron alteradas no se puede calcular la detección de errores.</t>
  </si>
  <si>
    <t>RF-09</t>
  </si>
  <si>
    <t>Registrar la decisión final del usuario y su nivel de confianza, e identificar si cambió respecto a la decisión inicial.</t>
  </si>
  <si>
    <t>UC-17</t>
  </si>
  <si>
    <t>La comparación entre decisión inicial y final es la base para medir la dependencia de la IA.</t>
  </si>
  <si>
    <t>RF-10</t>
  </si>
  <si>
    <t>Mostrar la retroalimentación del intento: respuesta de referencia, acierto del usuario, acierto de la IA (indicando si fue alterada), explicación…</t>
  </si>
  <si>
    <t>UC-18</t>
  </si>
  <si>
    <t>La retroalimentación es lo que convierte el caso en una actividad de aprendizaje.</t>
  </si>
  <si>
    <t>RF-11</t>
  </si>
  <si>
    <t>Otorgar puntos, niveles e insignias según el desempeño del usuario.</t>
  </si>
  <si>
    <t>UC-19</t>
  </si>
  <si>
    <t>La gamificación motiva, pero el aprendizaje ocurre aunque no haya puntos ni insignias.</t>
  </si>
  <si>
    <t>RF-12</t>
  </si>
  <si>
    <t>Registrar la telemetría de cada intento: tiempo de exploración, hitos visitados, hallazgos detectados y omitidos, decisiones con sus tiempos y…</t>
  </si>
  <si>
    <t>Sin registro no hay datos para evaluar el desempeño ni la interacción humano–IA.</t>
  </si>
  <si>
    <t>RF-13</t>
  </si>
  <si>
    <t>Mostrar a cada estudiante un tablero con su desempeño: precisión de decisiones, detección de errores de la IA, sobre-dependencia y cobertura de…</t>
  </si>
  <si>
    <t>Los datos ya quedan registrados y exportables; el tablero mejora la experiencia.</t>
  </si>
  <si>
    <t>RF-14.1</t>
  </si>
  <si>
    <t>Seleccionar para cada caso una imagen del tracto gastrointestinal superior del dataset (HyperKvasir), según la dificultad y la región solicitadas,…</t>
  </si>
  <si>
    <t>UC-09</t>
  </si>
  <si>
    <t>Sin una imagen etiquetada del tracto superior no hay caso ni respuesta de referencia.</t>
  </si>
  <si>
    <t>RF-14.2</t>
  </si>
  <si>
    <t>El agente de IA deberá redactar una historia clínica sintética coherente con la etiqueta de la imagen (edad, motivo de consulta, antecedentes y…</t>
  </si>
  <si>
    <t>La historia clínica da el contexto del caso; es la tarea central del agente generador.</t>
  </si>
  <si>
    <t>RF-14.3</t>
  </si>
  <si>
    <t>Asignar automáticamente la ubicación del hallazgo en la ruta 3D según la clase de la imagen, mediante una tabla de correspondencia clase–región,…</t>
  </si>
  <si>
    <t>Reemplaza la ubicación manual del docente; sin ella el hallazgo no aparece en el 3D.</t>
  </si>
  <si>
    <t>RF-14.4</t>
  </si>
  <si>
    <t>Validar automáticamente cada caso generado antes de mostrarlo (campos completos, coherencia entre etiqueta, región e historia, y ausencia del…</t>
  </si>
  <si>
    <t>Evita que lleguen al estudiante casos incompletos o que revelen el diagnóstico.</t>
  </si>
  <si>
    <t>RF-14.5</t>
  </si>
  <si>
    <t>Guardar cada caso generado (imagen, historia, ubicación, versión del modelo y de las instrucciones, y semilla) para poder repetirlo y comparar…</t>
  </si>
  <si>
    <t>Sin guardar los casos no se pueden repetir ni comparar estudiantes con el mismo caso.</t>
  </si>
  <si>
    <t>RF-14.6</t>
  </si>
  <si>
    <t>Permitir al docente revisar los casos generados y aprobarlos o descartarlos; un caso descartado no se vuelve a asignar y su motivo queda registrado.</t>
  </si>
  <si>
    <t>UC-21</t>
  </si>
  <si>
    <t>Es la supervisión humana del contenido generado por IA que exigen DECIDE-AI y FUTURE-AI.</t>
  </si>
  <si>
    <t>RF-14.7</t>
  </si>
  <si>
    <t>(Opcional) permitir al estudiante reportar un caso que considere incorrecto; el caso queda marcado para revisión del docente.</t>
  </si>
  <si>
    <t>Ayuda a detectar errores del generador, pero el docente ya puede revisar y descartar casos.</t>
  </si>
  <si>
    <t>RF-15</t>
  </si>
  <si>
    <t>Permitir al docente exportar a CSV los registros seudonimizados de los intentos.</t>
  </si>
  <si>
    <t>UC-24</t>
  </si>
  <si>
    <t>Los datos pueden consultarse directamente en la base de datos; el botón agiliza el análisis.</t>
  </si>
  <si>
    <t>RF-16</t>
  </si>
  <si>
    <t>(Opcional) mostrar una tabla de clasificación entre los usuarios de un mismo grupo.</t>
  </si>
  <si>
    <t>UC-20</t>
  </si>
  <si>
    <t>Motivación extra; puede generar competencia no deseada.</t>
  </si>
  <si>
    <t>Won't</t>
  </si>
  <si>
    <t>RNF-01</t>
  </si>
  <si>
    <t>La escena deberá mantener al menos 30 cuadros por segundo en un portátil con gráficos integrados a resolución 1366×768.</t>
  </si>
  <si>
    <t>RNF</t>
  </si>
  <si>
    <t>Por debajo de 30 FPS la simulación pierde usabilidad.</t>
  </si>
  <si>
    <t>RNF-02</t>
  </si>
  <si>
    <t>La escena de un caso deberá cargar en menos de 5 segundos con una conexión de 10 Mbps; los recursos 3D de cada caso no superarán 10 MB.</t>
  </si>
  <si>
    <t>Una carga lenta hace que el usuario abandone el caso antes de empezar a explorar.</t>
  </si>
  <si>
    <t>RNF-03</t>
  </si>
  <si>
    <t>El tutor deberá responder en menos de 10 segundos en al menos el 90 % de los mensajes.</t>
  </si>
  <si>
    <t>Esperas largas rompen la conversación con el tutor y afectan la usabilidad.</t>
  </si>
  <si>
    <t>RNF-04</t>
  </si>
  <si>
    <t>Las pantallas que no son 3D deberán cargar en menos de 3 segundos.</t>
  </si>
  <si>
    <t>Deseable; el 3D tiene su propio requisito de carga.</t>
  </si>
  <si>
    <t>RNF-05</t>
  </si>
  <si>
    <t>El sistema deberá obtener un puntaje SUS igual o superior a 68.</t>
  </si>
  <si>
    <t>5 Pruebas</t>
  </si>
  <si>
    <t>El curso exige evaluar la experiencia de uso; SUS ≥ 68 es el umbral habitual de aceptación.</t>
  </si>
  <si>
    <t>Nestor Velasco</t>
  </si>
  <si>
    <t>RNF-06</t>
  </si>
  <si>
    <t>El sistema deberá funcionar en las dos últimas versiones de Chrome, Firefox y Edge con soporte WebGL 2, en escritorio.</t>
  </si>
  <si>
    <t>Los usuarios no tienen un navegador único; el simulador debe abrir en los más comunes.</t>
  </si>
  <si>
    <t>RNF-07</t>
  </si>
  <si>
    <t>El acceso usará autenticación de dos factores (2FA), las contraseñas se almacenarán con hash, toda la comunicación usará HTTPS y ninguna…</t>
  </si>
  <si>
    <t>Protección mínima obligatoria de credenciales y datos.</t>
  </si>
  <si>
    <t>RNF-08</t>
  </si>
  <si>
    <t>El sistema solo usará imágenes públicas y desidentificadas (HyperKvasir, tracto superior) e historias clínicas sintéticas, y almacenará la…</t>
  </si>
  <si>
    <t>Restricción legal y ética del proyecto.</t>
  </si>
  <si>
    <t>RNF-09</t>
  </si>
  <si>
    <t>Los módulos críticos tendrán pruebas automatizadas y todo cambio se integrará mediante pull request revisado.</t>
  </si>
  <si>
    <t>Exigido por la matriz de calidad del curso (pruebas en ≥ 70 % de módulos críticos y uso de PR).</t>
  </si>
  <si>
    <t>RNF-10</t>
  </si>
  <si>
    <t>El sistema deberá poder instalarse y ejecutarse con un solo comando a partir del repositorio.</t>
  </si>
  <si>
    <t>Exigido por la matriz de calidad del curso (Docker + README para reproducir la entrega).</t>
  </si>
  <si>
    <t>RNF-11</t>
  </si>
  <si>
    <t>El sistema publicado deberá estar disponible al menos el 95 % del tiempo durante el periodo de pruebas y la demostración final.</t>
  </si>
  <si>
    <t>Importante en pruebas y demo; se mitiga revisando el servicio antes de cada sesión.</t>
  </si>
  <si>
    <t>RNF-12</t>
  </si>
  <si>
    <t>El entrenamiento del modelo de visión deberá poder repetirse y sus métricas deberán reportarse.</t>
  </si>
  <si>
    <t>El curso exige un baseline de IA reproducible (cuaderno y registros de métricas).</t>
  </si>
  <si>
    <t>RNF-13</t>
  </si>
  <si>
    <t>Calidad del contenido generado: la interfaz estará en español y el contenido clínico de los casos generados deberá ser coherente y verificable.</t>
  </si>
  <si>
    <t>Un caso generado con errores clínicos enseñaría conceptos equivocados; por eso se mide su calidad.</t>
  </si>
  <si>
    <t>RNF-14</t>
  </si>
  <si>
    <t>Un caso nuevo deberá estar listo para el estudiante en menos de 15 segundos en al menos el 90 % de las solicitudes.</t>
  </si>
  <si>
    <t>Una espera larga al pedir un caso hace que el estudiante abandone la práctica.</t>
  </si>
  <si>
    <t>Resumen de la priorización y regla de control</t>
  </si>
  <si>
    <t>Categoría</t>
  </si>
  <si>
    <t>Requisitos RF</t>
  </si>
  <si>
    <t>Requisitos RNF</t>
  </si>
  <si>
    <t>Total requisitos</t>
  </si>
  <si>
    <t>% de requisitos</t>
  </si>
  <si>
    <t>Esfuerzo (h)</t>
  </si>
  <si>
    <t>% del esfuerzo</t>
  </si>
  <si>
    <t>Total</t>
  </si>
  <si>
    <t>Regla de control (guía DSDM / Agile Business Consortium):</t>
  </si>
  <si>
    <t>El esfuerzo de los requisitos Must no debería superar el 60 % del esfuerzo total, para que los Should y Could sirvan de contingencia.</t>
  </si>
  <si>
    <t>Límite recomendado para Must:</t>
  </si>
  <si>
    <t>Esfuerzo Must actual:</t>
  </si>
  <si>
    <t>Resultado:</t>
  </si>
  <si>
    <t>Capacidad del equipo (horas de desarrollo disponibles):</t>
  </si>
  <si>
    <t>Integrantes</t>
  </si>
  <si>
    <t>Horas por semana por integrante (Acta: 8 h)</t>
  </si>
  <si>
    <t>Semanas de construcción y pruebas (ciclos TSP)</t>
  </si>
  <si>
    <t>Capacidad total (h)</t>
  </si>
  <si>
    <t>Esfuerzo estimado de Must + Should (h)</t>
  </si>
  <si>
    <t>Holgura de capacidad (h)</t>
  </si>
  <si>
    <t>Plan de acción si se supera el límite o la capacidad:</t>
  </si>
  <si>
    <t>1. Revisar con el Product Owner si algún Must puede pasar a Should sin afectar el propósito del simulador.</t>
  </si>
  <si>
    <t>2. Usar los requisitos Should y Could como reserva: se retiran primero si el ciclo se atrasa.</t>
  </si>
  <si>
    <t>3. Recalcular el esfuerzo con los datos reales de tiempo (LOGT) al cerrar el ciclo TSP 1 y repriorizar.</t>
  </si>
  <si>
    <t>4. Todo cambio de categoría se registra como solicitud de cambio (Acta, sección 5.2.1) y actualiza la Matriz de Trazabilidad.</t>
  </si>
  <si>
    <t>Tablero MoSCoW – GASTRO-SIM v1.3</t>
  </si>
  <si>
    <t>Vista para presentar la priorización (instantánea del 05/10/2026). Si cambia una categoría, actualice también este tablero.</t>
  </si>
  <si>
    <t>MUST – Debe tener</t>
  </si>
  <si>
    <t>SHOULD – Debería tener</t>
  </si>
  <si>
    <t>COULD – Podría tener</t>
  </si>
  <si>
    <t>WON'T – No tendrá (en esta versión)</t>
  </si>
  <si>
    <t>Simulación de colonoscopia (tracto inferior)</t>
  </si>
  <si>
    <t>Realidad virtual con visores</t>
  </si>
  <si>
    <t>Uso con pacientes o datos clínicos reales</t>
  </si>
  <si>
    <t>Hardware háptico y simulación física de tejidos</t>
  </si>
  <si>
    <t>Integración con la plataforma ONCO-AI</t>
  </si>
  <si>
    <t>Criterios para asignar cada categoría MoSCoW en GASTRO-SIM</t>
  </si>
  <si>
    <t>Significado</t>
  </si>
  <si>
    <t>Pregunta de decisión para el equipo</t>
  </si>
  <si>
    <t>Imprescindible para la versión 1.0. Si falta, el producto no se puede entregar o no cumple su propósito.</t>
  </si>
  <si>
    <t>¿Sin esto el simulador deja de servir para entrenar y medir la decisión humano–IA? ¿Lo exige la ley, el acta o el profesor? Si la respuesta es sí, es Must.</t>
  </si>
  <si>
    <t>Importante y con valor alto, pero existe una alternativa temporal (por ejemplo, cargar casos por archivo).</t>
  </si>
  <si>
    <t>¿El flujo principal funciona sin esto, aunque sea menos cómodo? Si es así, es Should.</t>
  </si>
  <si>
    <t>Deseable. Mejora la experiencia o el realismo con bajo impacto si se omite.</t>
  </si>
  <si>
    <t>¿Es un «sería bueno tener» que solo se hace si sobra tiempo? Entonces es Could.</t>
  </si>
  <si>
    <t>Acordado explícitamente como fuera de esta versión. No se descarta para el futuro.</t>
  </si>
  <si>
    <t>¿Está en el alcance excluido del acta o fuera de la capacidad del semestre? Entonces es Won't.</t>
  </si>
  <si>
    <t>Escalas usadas en la hoja de priorización:</t>
  </si>
  <si>
    <t>Valor para el usuario: 1 = casi no lo nota · 3 = útil · 5 = indispensable para su aprendizaje.</t>
  </si>
  <si>
    <t>Riesgo de no incluirlo: 1 = sin consecuencia · 3 = afecta la experiencia o una métrica · 5 = incumple el propósito, la ley o el acta.</t>
  </si>
  <si>
    <t>Puntaje = valor × riesgo (1 a 25): sirve para ordenar dentro de cada categoría, no reemplaza el criterio del equipo.</t>
  </si>
  <si>
    <t>Esfuerzo estimado: horas de trabajo según el juicio del equipo; se recalibra con los registros de tiempo TSP (LOGT).</t>
  </si>
  <si>
    <t>Procedimiento: el equipo propone la categoría → el Product Owner la aprueba → cualquier cambio posterior pasa por control de cambios.</t>
  </si>
  <si>
    <t>Relación casos de uso – requisitos – prioridad</t>
  </si>
  <si>
    <t>Caso de uso</t>
  </si>
  <si>
    <t>Nombre</t>
  </si>
  <si>
    <t>Requisitos relacionados</t>
  </si>
  <si>
    <t>Prioridad</t>
  </si>
  <si>
    <t>Registrarse</t>
  </si>
  <si>
    <t>Iniciar sesión</t>
  </si>
  <si>
    <t>Verificar segundo factor (2FA)</t>
  </si>
  <si>
    <t>Activar 2FA y códigos de recuperación</t>
  </si>
  <si>
    <t>Aceptar consentimiento informado</t>
  </si>
  <si>
    <t>Elegir región anatómica</t>
  </si>
  <si>
    <t>Consultar historial y repetir casos</t>
  </si>
  <si>
    <t>Resolver caso clínico</t>
  </si>
  <si>
    <t>RF-02.1, RF-03.5, RF-04, RF-12</t>
  </si>
  <si>
    <t>Generar caso clínico (agente de IA)</t>
  </si>
  <si>
    <t>RF-14.1–14.5, RF-03.4</t>
  </si>
  <si>
    <t>Explorar tracto gastrointestinal en 3D</t>
  </si>
  <si>
    <t>RF-03.1–03.4</t>
  </si>
  <si>
    <t>UC-11</t>
  </si>
  <si>
    <t>Capturar hallazgo</t>
  </si>
  <si>
    <t>Ver minimapa</t>
  </si>
  <si>
    <t>Registrar decisión inicial</t>
  </si>
  <si>
    <t>Ver recomendación de la IA</t>
  </si>
  <si>
    <t>RF-06.1–06.2, RF-08.2–08.3</t>
  </si>
  <si>
    <t>Ver mapa de calor (Grad-CAM)</t>
  </si>
  <si>
    <t>Consultar al agente tutor</t>
  </si>
  <si>
    <t>RF-07</t>
  </si>
  <si>
    <t>Registrar decisión final</t>
  </si>
  <si>
    <t>Recibir retroalimentación</t>
  </si>
  <si>
    <t>RF-10, RF-14.7</t>
  </si>
  <si>
    <t>Consultar mi desempeño y logros</t>
  </si>
  <si>
    <t>RF-11, RF-13</t>
  </si>
  <si>
    <t>Ver tabla de clasificación</t>
  </si>
  <si>
    <t>Revisar casos generados</t>
  </si>
  <si>
    <t>Configurar inyección de errores</t>
  </si>
  <si>
    <t>Gestionar usuarios (roles y 2FA)</t>
  </si>
  <si>
    <t>RF-01.3, RF-01.7</t>
  </si>
  <si>
    <t>Exportar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</si>
</sst>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i/>
      <sz val="9"/>
      <color rgb="FF555555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D1ECF1"/>
      </patternFill>
    </fill>
    <fill>
      <patternFill patternType="solid">
        <fgColor rgb="FFE2E3E5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0" xfId="0" applyFont="1"/>
    <xf numFmtId="0" fontId="2" fillId="3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9" fontId="0" fillId="7" borderId="0" xfId="0" applyNumberFormat="1" applyFill="1"/>
    <xf numFmtId="164" fontId="0" fillId="0" borderId="0" xfId="0" applyNumberFormat="1"/>
    <xf numFmtId="0" fontId="0" fillId="7" borderId="0" xfId="0" applyFill="1"/>
    <xf numFmtId="0" fontId="8" fillId="0" borderId="0" xfId="0" applyFont="1"/>
    <xf numFmtId="0" fontId="10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/>
    <xf numFmtId="0" fontId="6" fillId="3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2" fillId="0" borderId="0" xfId="0" applyFont="1"/>
    <xf numFmtId="0" fontId="0" fillId="0" borderId="0" xfId="0"/>
    <xf numFmtId="0" fontId="3" fillId="0" borderId="0" xfId="0" applyFont="1"/>
    <xf numFmtId="0" fontId="9" fillId="3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0"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E2E3E5"/>
        </patternFill>
      </fill>
    </dxf>
    <dxf>
      <fill>
        <patternFill patternType="solid">
          <fgColor rgb="FFD1ECF1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E2E3E5"/>
        </patternFill>
      </fill>
    </dxf>
    <dxf>
      <fill>
        <patternFill patternType="solid">
          <fgColor rgb="FFD1ECF1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S"/>
              <a:t>Esfuerzo estimado por categoría (h)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'Resumen y control'!$F$3</c:f>
              <c:strCache>
                <c:ptCount val="1"/>
                <c:pt idx="0">
                  <c:v>Esfuerzo (h)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'Resumen y control'!$A$4:$A$7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Could</c:v>
                </c:pt>
                <c:pt idx="3">
                  <c:v>Won't</c:v>
                </c:pt>
              </c:strCache>
            </c:strRef>
          </c:cat>
          <c:val>
            <c:numRef>
              <c:f>'Resumen y control'!$F$4:$F$7</c:f>
              <c:numCache>
                <c:formatCode>General</c:formatCode>
                <c:ptCount val="4"/>
                <c:pt idx="0">
                  <c:v>320</c:v>
                </c:pt>
                <c:pt idx="1">
                  <c:v>63</c:v>
                </c:pt>
                <c:pt idx="2">
                  <c:v>33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5-5747-A65B-CBD31AE18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6"/>
  <sheetViews>
    <sheetView tabSelected="1" workbookViewId="0">
      <pane xSplit="2" ySplit="10" topLeftCell="C21" activePane="bottomRight" state="frozen"/>
      <selection pane="topRight"/>
      <selection pane="bottomLeft"/>
      <selection pane="bottomRight" activeCell="A53" sqref="A53:XFD53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8" customWidth="1"/>
    <col min="4" max="4" width="13" customWidth="1"/>
    <col min="5" max="5" width="22" customWidth="1"/>
    <col min="6" max="9" width="11" customWidth="1"/>
    <col min="10" max="10" width="12" customWidth="1"/>
    <col min="11" max="11" width="52" customWidth="1"/>
    <col min="12" max="12" width="20" customWidth="1"/>
    <col min="13" max="13" width="16" customWidth="1"/>
    <col min="14" max="14" width="13" customWidth="1"/>
  </cols>
  <sheetData>
    <row r="1" spans="1:14" ht="24" x14ac:dyDescent="0.3">
      <c r="A1" s="1" t="s">
        <v>0</v>
      </c>
    </row>
    <row r="3" spans="1:14" x14ac:dyDescent="0.2">
      <c r="A3" s="38" t="s">
        <v>1</v>
      </c>
      <c r="B3" s="39"/>
      <c r="C3" s="40" t="s">
        <v>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x14ac:dyDescent="0.2">
      <c r="A4" s="38" t="s">
        <v>3</v>
      </c>
      <c r="B4" s="39"/>
      <c r="C4" s="40" t="s">
        <v>4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1:14" x14ac:dyDescent="0.2">
      <c r="A5" s="38" t="s">
        <v>5</v>
      </c>
      <c r="B5" s="39"/>
      <c r="C5" s="40" t="s">
        <v>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">
      <c r="A6" s="38" t="s">
        <v>7</v>
      </c>
      <c r="B6" s="39"/>
      <c r="C6" s="40" t="s">
        <v>8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">
      <c r="A7" s="38" t="s">
        <v>9</v>
      </c>
      <c r="B7" s="39"/>
      <c r="C7" s="40" t="s">
        <v>10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x14ac:dyDescent="0.2">
      <c r="A8" s="38" t="s">
        <v>11</v>
      </c>
      <c r="B8" s="39"/>
      <c r="C8" s="40" t="s">
        <v>12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10" spans="1:14" ht="48" customHeight="1" x14ac:dyDescent="0.2">
      <c r="A10" s="3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  <c r="N10" s="3" t="s">
        <v>26</v>
      </c>
    </row>
    <row r="11" spans="1:14" ht="44.5" customHeight="1" x14ac:dyDescent="0.2">
      <c r="A11" s="4" t="s">
        <v>27</v>
      </c>
      <c r="B11" s="5" t="s">
        <v>28</v>
      </c>
      <c r="C11" s="6" t="s">
        <v>29</v>
      </c>
      <c r="D11" s="6" t="s">
        <v>30</v>
      </c>
      <c r="E11" s="5" t="s">
        <v>31</v>
      </c>
      <c r="F11" s="6">
        <v>3</v>
      </c>
      <c r="G11" s="6">
        <v>4</v>
      </c>
      <c r="H11" s="6">
        <f t="shared" ref="H11:H42" si="0">F11*G11</f>
        <v>12</v>
      </c>
      <c r="I11" s="6">
        <v>4</v>
      </c>
      <c r="J11" s="4" t="s">
        <v>32</v>
      </c>
      <c r="K11" s="5" t="s">
        <v>33</v>
      </c>
      <c r="L11" s="6" t="s">
        <v>34</v>
      </c>
      <c r="M11" s="6" t="s">
        <v>35</v>
      </c>
      <c r="N11" s="6" t="s">
        <v>36</v>
      </c>
    </row>
    <row r="12" spans="1:14" ht="31" customHeight="1" x14ac:dyDescent="0.2">
      <c r="A12" s="4" t="s">
        <v>37</v>
      </c>
      <c r="B12" s="5" t="s">
        <v>38</v>
      </c>
      <c r="C12" s="6" t="s">
        <v>29</v>
      </c>
      <c r="D12" s="6" t="s">
        <v>39</v>
      </c>
      <c r="E12" s="5" t="s">
        <v>31</v>
      </c>
      <c r="F12" s="6">
        <v>4</v>
      </c>
      <c r="G12" s="6">
        <v>4</v>
      </c>
      <c r="H12" s="6">
        <f t="shared" si="0"/>
        <v>16</v>
      </c>
      <c r="I12" s="6">
        <v>3</v>
      </c>
      <c r="J12" s="4" t="s">
        <v>32</v>
      </c>
      <c r="K12" s="5" t="s">
        <v>40</v>
      </c>
      <c r="L12" s="6" t="s">
        <v>34</v>
      </c>
      <c r="M12" s="6" t="s">
        <v>35</v>
      </c>
      <c r="N12" s="6" t="s">
        <v>36</v>
      </c>
    </row>
    <row r="13" spans="1:14" ht="31" customHeight="1" x14ac:dyDescent="0.2">
      <c r="A13" s="4" t="s">
        <v>41</v>
      </c>
      <c r="B13" s="5" t="s">
        <v>42</v>
      </c>
      <c r="C13" s="6" t="s">
        <v>29</v>
      </c>
      <c r="D13" s="6" t="s">
        <v>43</v>
      </c>
      <c r="E13" s="5" t="s">
        <v>31</v>
      </c>
      <c r="F13" s="6">
        <v>2</v>
      </c>
      <c r="G13" s="6">
        <v>2</v>
      </c>
      <c r="H13" s="6">
        <f t="shared" si="0"/>
        <v>4</v>
      </c>
      <c r="I13" s="6">
        <v>4</v>
      </c>
      <c r="J13" s="4" t="s">
        <v>44</v>
      </c>
      <c r="K13" s="5" t="s">
        <v>45</v>
      </c>
      <c r="L13" s="6" t="s">
        <v>46</v>
      </c>
      <c r="M13" s="6" t="s">
        <v>35</v>
      </c>
      <c r="N13" s="6" t="s">
        <v>36</v>
      </c>
    </row>
    <row r="14" spans="1:14" ht="44.5" customHeight="1" x14ac:dyDescent="0.2">
      <c r="A14" s="4" t="s">
        <v>47</v>
      </c>
      <c r="B14" s="5" t="s">
        <v>48</v>
      </c>
      <c r="C14" s="6" t="s">
        <v>29</v>
      </c>
      <c r="D14" s="6" t="s">
        <v>49</v>
      </c>
      <c r="E14" s="5" t="s">
        <v>31</v>
      </c>
      <c r="F14" s="6">
        <v>4</v>
      </c>
      <c r="G14" s="6">
        <v>5</v>
      </c>
      <c r="H14" s="6">
        <f t="shared" si="0"/>
        <v>20</v>
      </c>
      <c r="I14" s="6">
        <v>3</v>
      </c>
      <c r="J14" s="4" t="s">
        <v>32</v>
      </c>
      <c r="K14" s="5" t="s">
        <v>50</v>
      </c>
      <c r="L14" s="6" t="s">
        <v>34</v>
      </c>
      <c r="M14" s="6" t="s">
        <v>35</v>
      </c>
      <c r="N14" s="6" t="s">
        <v>36</v>
      </c>
    </row>
    <row r="15" spans="1:14" ht="44.5" customHeight="1" x14ac:dyDescent="0.2">
      <c r="A15" s="4" t="s">
        <v>51</v>
      </c>
      <c r="B15" s="5" t="s">
        <v>52</v>
      </c>
      <c r="C15" s="6" t="s">
        <v>29</v>
      </c>
      <c r="D15" s="6" t="s">
        <v>53</v>
      </c>
      <c r="E15" s="5" t="s">
        <v>31</v>
      </c>
      <c r="F15" s="6">
        <v>4</v>
      </c>
      <c r="G15" s="6">
        <v>5</v>
      </c>
      <c r="H15" s="6">
        <f t="shared" si="0"/>
        <v>20</v>
      </c>
      <c r="I15" s="6">
        <v>8</v>
      </c>
      <c r="J15" s="4" t="s">
        <v>32</v>
      </c>
      <c r="K15" s="5" t="s">
        <v>54</v>
      </c>
      <c r="L15" s="6" t="s">
        <v>34</v>
      </c>
      <c r="M15" s="6" t="s">
        <v>35</v>
      </c>
      <c r="N15" s="6" t="s">
        <v>36</v>
      </c>
    </row>
    <row r="16" spans="1:14" ht="44.5" customHeight="1" x14ac:dyDescent="0.2">
      <c r="A16" s="4" t="s">
        <v>55</v>
      </c>
      <c r="B16" s="5" t="s">
        <v>56</v>
      </c>
      <c r="C16" s="6" t="s">
        <v>29</v>
      </c>
      <c r="D16" s="6" t="s">
        <v>57</v>
      </c>
      <c r="E16" s="5" t="s">
        <v>31</v>
      </c>
      <c r="F16" s="6">
        <v>4</v>
      </c>
      <c r="G16" s="6">
        <v>5</v>
      </c>
      <c r="H16" s="6">
        <f t="shared" si="0"/>
        <v>20</v>
      </c>
      <c r="I16" s="6">
        <v>6</v>
      </c>
      <c r="J16" s="4" t="s">
        <v>32</v>
      </c>
      <c r="K16" s="5" t="s">
        <v>58</v>
      </c>
      <c r="L16" s="6" t="s">
        <v>34</v>
      </c>
      <c r="M16" s="6" t="s">
        <v>35</v>
      </c>
      <c r="N16" s="6" t="s">
        <v>36</v>
      </c>
    </row>
    <row r="17" spans="1:14" ht="44.5" customHeight="1" x14ac:dyDescent="0.2">
      <c r="A17" s="4" t="s">
        <v>59</v>
      </c>
      <c r="B17" s="5" t="s">
        <v>60</v>
      </c>
      <c r="C17" s="6" t="s">
        <v>29</v>
      </c>
      <c r="D17" s="6" t="s">
        <v>43</v>
      </c>
      <c r="E17" s="5" t="s">
        <v>31</v>
      </c>
      <c r="F17" s="6">
        <v>3</v>
      </c>
      <c r="G17" s="6">
        <v>3</v>
      </c>
      <c r="H17" s="6">
        <f t="shared" si="0"/>
        <v>9</v>
      </c>
      <c r="I17" s="6">
        <v>3</v>
      </c>
      <c r="J17" s="4" t="s">
        <v>44</v>
      </c>
      <c r="K17" s="5" t="s">
        <v>61</v>
      </c>
      <c r="L17" s="6" t="s">
        <v>46</v>
      </c>
      <c r="M17" s="6" t="s">
        <v>35</v>
      </c>
      <c r="N17" s="6" t="s">
        <v>36</v>
      </c>
    </row>
    <row r="18" spans="1:14" ht="44.5" customHeight="1" x14ac:dyDescent="0.2">
      <c r="A18" s="4" t="s">
        <v>62</v>
      </c>
      <c r="B18" s="5" t="s">
        <v>63</v>
      </c>
      <c r="C18" s="6" t="s">
        <v>29</v>
      </c>
      <c r="D18" s="6" t="s">
        <v>64</v>
      </c>
      <c r="E18" s="5" t="s">
        <v>65</v>
      </c>
      <c r="F18" s="6">
        <v>4</v>
      </c>
      <c r="G18" s="6">
        <v>4</v>
      </c>
      <c r="H18" s="6">
        <f t="shared" si="0"/>
        <v>16</v>
      </c>
      <c r="I18" s="6">
        <v>6</v>
      </c>
      <c r="J18" s="4" t="s">
        <v>32</v>
      </c>
      <c r="K18" s="5" t="s">
        <v>66</v>
      </c>
      <c r="L18" s="6" t="s">
        <v>34</v>
      </c>
      <c r="M18" s="6" t="s">
        <v>67</v>
      </c>
      <c r="N18" s="6" t="s">
        <v>36</v>
      </c>
    </row>
    <row r="19" spans="1:14" ht="44.5" customHeight="1" x14ac:dyDescent="0.2">
      <c r="A19" s="4" t="s">
        <v>68</v>
      </c>
      <c r="B19" s="5" t="s">
        <v>69</v>
      </c>
      <c r="C19" s="6" t="s">
        <v>29</v>
      </c>
      <c r="D19" s="6" t="s">
        <v>70</v>
      </c>
      <c r="E19" s="5" t="s">
        <v>65</v>
      </c>
      <c r="F19" s="6">
        <v>2</v>
      </c>
      <c r="G19" s="6">
        <v>2</v>
      </c>
      <c r="H19" s="6">
        <f t="shared" si="0"/>
        <v>4</v>
      </c>
      <c r="I19" s="6">
        <v>4</v>
      </c>
      <c r="J19" s="4" t="s">
        <v>44</v>
      </c>
      <c r="K19" s="5" t="s">
        <v>71</v>
      </c>
      <c r="L19" s="6" t="s">
        <v>46</v>
      </c>
      <c r="M19" s="6" t="s">
        <v>67</v>
      </c>
      <c r="N19" s="6" t="s">
        <v>36</v>
      </c>
    </row>
    <row r="20" spans="1:14" ht="31" customHeight="1" x14ac:dyDescent="0.2">
      <c r="A20" s="4" t="s">
        <v>72</v>
      </c>
      <c r="B20" s="5" t="s">
        <v>73</v>
      </c>
      <c r="C20" s="6" t="s">
        <v>29</v>
      </c>
      <c r="D20" s="6" t="s">
        <v>74</v>
      </c>
      <c r="E20" s="5" t="s">
        <v>65</v>
      </c>
      <c r="F20" s="6">
        <v>3</v>
      </c>
      <c r="G20" s="6">
        <v>2</v>
      </c>
      <c r="H20" s="6">
        <f t="shared" si="0"/>
        <v>6</v>
      </c>
      <c r="I20" s="6">
        <v>5</v>
      </c>
      <c r="J20" s="4" t="s">
        <v>44</v>
      </c>
      <c r="K20" s="5" t="s">
        <v>75</v>
      </c>
      <c r="L20" s="6" t="s">
        <v>46</v>
      </c>
      <c r="M20" s="6" t="s">
        <v>67</v>
      </c>
      <c r="N20" s="6" t="s">
        <v>36</v>
      </c>
    </row>
    <row r="21" spans="1:14" ht="44.5" customHeight="1" x14ac:dyDescent="0.2">
      <c r="A21" s="4" t="s">
        <v>76</v>
      </c>
      <c r="B21" s="5" t="s">
        <v>77</v>
      </c>
      <c r="C21" s="6" t="s">
        <v>29</v>
      </c>
      <c r="D21" s="6" t="s">
        <v>78</v>
      </c>
      <c r="E21" s="5" t="s">
        <v>79</v>
      </c>
      <c r="F21" s="6">
        <v>5</v>
      </c>
      <c r="G21" s="6">
        <v>5</v>
      </c>
      <c r="H21" s="6">
        <f t="shared" si="0"/>
        <v>25</v>
      </c>
      <c r="I21" s="6">
        <v>30</v>
      </c>
      <c r="J21" s="4" t="s">
        <v>32</v>
      </c>
      <c r="K21" s="5" t="s">
        <v>80</v>
      </c>
      <c r="L21" s="6" t="s">
        <v>34</v>
      </c>
      <c r="M21" s="6" t="s">
        <v>81</v>
      </c>
      <c r="N21" s="6" t="s">
        <v>36</v>
      </c>
    </row>
    <row r="22" spans="1:14" ht="44.5" customHeight="1" x14ac:dyDescent="0.2">
      <c r="A22" s="4" t="s">
        <v>82</v>
      </c>
      <c r="B22" s="5" t="s">
        <v>83</v>
      </c>
      <c r="C22" s="6" t="s">
        <v>29</v>
      </c>
      <c r="D22" s="6" t="s">
        <v>78</v>
      </c>
      <c r="E22" s="5" t="s">
        <v>79</v>
      </c>
      <c r="F22" s="6">
        <v>5</v>
      </c>
      <c r="G22" s="6">
        <v>5</v>
      </c>
      <c r="H22" s="6">
        <f t="shared" si="0"/>
        <v>25</v>
      </c>
      <c r="I22" s="6">
        <v>16</v>
      </c>
      <c r="J22" s="4" t="s">
        <v>32</v>
      </c>
      <c r="K22" s="5" t="s">
        <v>84</v>
      </c>
      <c r="L22" s="6" t="s">
        <v>34</v>
      </c>
      <c r="M22" s="6" t="s">
        <v>81</v>
      </c>
      <c r="N22" s="6" t="s">
        <v>36</v>
      </c>
    </row>
    <row r="23" spans="1:14" ht="44.5" customHeight="1" x14ac:dyDescent="0.2">
      <c r="A23" s="4" t="s">
        <v>85</v>
      </c>
      <c r="B23" s="5" t="s">
        <v>86</v>
      </c>
      <c r="C23" s="6" t="s">
        <v>29</v>
      </c>
      <c r="D23" s="6" t="s">
        <v>78</v>
      </c>
      <c r="E23" s="5" t="s">
        <v>79</v>
      </c>
      <c r="F23" s="6">
        <v>4</v>
      </c>
      <c r="G23" s="6">
        <v>4</v>
      </c>
      <c r="H23" s="6">
        <f t="shared" si="0"/>
        <v>16</v>
      </c>
      <c r="I23" s="6">
        <v>8</v>
      </c>
      <c r="J23" s="4" t="s">
        <v>32</v>
      </c>
      <c r="K23" s="5" t="s">
        <v>87</v>
      </c>
      <c r="L23" s="6" t="s">
        <v>34</v>
      </c>
      <c r="M23" s="6" t="s">
        <v>81</v>
      </c>
      <c r="N23" s="6" t="s">
        <v>36</v>
      </c>
    </row>
    <row r="24" spans="1:14" ht="44.5" customHeight="1" x14ac:dyDescent="0.2">
      <c r="A24" s="4" t="s">
        <v>88</v>
      </c>
      <c r="B24" s="5" t="s">
        <v>89</v>
      </c>
      <c r="C24" s="6" t="s">
        <v>29</v>
      </c>
      <c r="D24" s="6" t="s">
        <v>90</v>
      </c>
      <c r="E24" s="5" t="s">
        <v>79</v>
      </c>
      <c r="F24" s="6">
        <v>5</v>
      </c>
      <c r="G24" s="6">
        <v>5</v>
      </c>
      <c r="H24" s="6">
        <f t="shared" si="0"/>
        <v>25</v>
      </c>
      <c r="I24" s="6">
        <v>10</v>
      </c>
      <c r="J24" s="4" t="s">
        <v>32</v>
      </c>
      <c r="K24" s="5" t="s">
        <v>91</v>
      </c>
      <c r="L24" s="6" t="s">
        <v>34</v>
      </c>
      <c r="M24" s="6" t="s">
        <v>81</v>
      </c>
      <c r="N24" s="6" t="s">
        <v>36</v>
      </c>
    </row>
    <row r="25" spans="1:14" ht="44.5" customHeight="1" x14ac:dyDescent="0.2">
      <c r="A25" s="4" t="s">
        <v>92</v>
      </c>
      <c r="B25" s="5" t="s">
        <v>93</v>
      </c>
      <c r="C25" s="6" t="s">
        <v>29</v>
      </c>
      <c r="D25" s="6" t="s">
        <v>94</v>
      </c>
      <c r="E25" s="5" t="s">
        <v>79</v>
      </c>
      <c r="F25" s="6">
        <v>5</v>
      </c>
      <c r="G25" s="6">
        <v>5</v>
      </c>
      <c r="H25" s="6">
        <f t="shared" si="0"/>
        <v>25</v>
      </c>
      <c r="I25" s="6">
        <v>10</v>
      </c>
      <c r="J25" s="4" t="s">
        <v>32</v>
      </c>
      <c r="K25" s="5" t="s">
        <v>95</v>
      </c>
      <c r="L25" s="6" t="s">
        <v>34</v>
      </c>
      <c r="M25" s="6" t="s">
        <v>81</v>
      </c>
      <c r="N25" s="6" t="s">
        <v>36</v>
      </c>
    </row>
    <row r="26" spans="1:14" ht="31" customHeight="1" x14ac:dyDescent="0.2">
      <c r="A26" s="4" t="s">
        <v>96</v>
      </c>
      <c r="B26" s="5" t="s">
        <v>97</v>
      </c>
      <c r="C26" s="6" t="s">
        <v>29</v>
      </c>
      <c r="D26" s="6" t="s">
        <v>98</v>
      </c>
      <c r="E26" s="5" t="s">
        <v>79</v>
      </c>
      <c r="F26" s="6">
        <v>3</v>
      </c>
      <c r="G26" s="6">
        <v>2</v>
      </c>
      <c r="H26" s="6">
        <f t="shared" si="0"/>
        <v>6</v>
      </c>
      <c r="I26" s="6">
        <v>10</v>
      </c>
      <c r="J26" s="4" t="s">
        <v>44</v>
      </c>
      <c r="K26" s="5" t="s">
        <v>99</v>
      </c>
      <c r="L26" s="6" t="s">
        <v>46</v>
      </c>
      <c r="M26" s="6" t="s">
        <v>81</v>
      </c>
      <c r="N26" s="6" t="s">
        <v>36</v>
      </c>
    </row>
    <row r="27" spans="1:14" ht="31" customHeight="1" x14ac:dyDescent="0.2">
      <c r="A27" s="4" t="s">
        <v>100</v>
      </c>
      <c r="B27" s="5" t="s">
        <v>101</v>
      </c>
      <c r="C27" s="6" t="s">
        <v>29</v>
      </c>
      <c r="D27" s="6" t="s">
        <v>102</v>
      </c>
      <c r="E27" s="5" t="s">
        <v>79</v>
      </c>
      <c r="F27" s="6">
        <v>2</v>
      </c>
      <c r="G27" s="6">
        <v>2</v>
      </c>
      <c r="H27" s="6">
        <f t="shared" si="0"/>
        <v>4</v>
      </c>
      <c r="I27" s="6">
        <v>16</v>
      </c>
      <c r="J27" s="4" t="s">
        <v>103</v>
      </c>
      <c r="K27" s="5" t="s">
        <v>104</v>
      </c>
      <c r="L27" s="6" t="s">
        <v>105</v>
      </c>
      <c r="M27" s="6" t="s">
        <v>81</v>
      </c>
      <c r="N27" s="6" t="s">
        <v>36</v>
      </c>
    </row>
    <row r="28" spans="1:14" ht="44.5" customHeight="1" x14ac:dyDescent="0.2">
      <c r="A28" s="4" t="s">
        <v>106</v>
      </c>
      <c r="B28" s="5" t="s">
        <v>107</v>
      </c>
      <c r="C28" s="6" t="s">
        <v>29</v>
      </c>
      <c r="D28" s="6" t="s">
        <v>64</v>
      </c>
      <c r="E28" s="5" t="s">
        <v>65</v>
      </c>
      <c r="F28" s="6">
        <v>5</v>
      </c>
      <c r="G28" s="6">
        <v>5</v>
      </c>
      <c r="H28" s="6">
        <f t="shared" si="0"/>
        <v>25</v>
      </c>
      <c r="I28" s="6">
        <v>6</v>
      </c>
      <c r="J28" s="4" t="s">
        <v>32</v>
      </c>
      <c r="K28" s="5" t="s">
        <v>108</v>
      </c>
      <c r="L28" s="6" t="s">
        <v>34</v>
      </c>
      <c r="M28" s="6" t="s">
        <v>67</v>
      </c>
      <c r="N28" s="6" t="s">
        <v>36</v>
      </c>
    </row>
    <row r="29" spans="1:14" ht="44.5" customHeight="1" x14ac:dyDescent="0.2">
      <c r="A29" s="4" t="s">
        <v>109</v>
      </c>
      <c r="B29" s="5" t="s">
        <v>110</v>
      </c>
      <c r="C29" s="6" t="s">
        <v>29</v>
      </c>
      <c r="D29" s="6" t="s">
        <v>111</v>
      </c>
      <c r="E29" s="5" t="s">
        <v>112</v>
      </c>
      <c r="F29" s="6">
        <v>5</v>
      </c>
      <c r="G29" s="6">
        <v>5</v>
      </c>
      <c r="H29" s="6">
        <f t="shared" si="0"/>
        <v>25</v>
      </c>
      <c r="I29" s="6">
        <v>5</v>
      </c>
      <c r="J29" s="4" t="s">
        <v>32</v>
      </c>
      <c r="K29" s="5" t="s">
        <v>113</v>
      </c>
      <c r="L29" s="6" t="s">
        <v>34</v>
      </c>
      <c r="M29" s="6" t="s">
        <v>35</v>
      </c>
      <c r="N29" s="6" t="s">
        <v>36</v>
      </c>
    </row>
    <row r="30" spans="1:14" ht="31" customHeight="1" x14ac:dyDescent="0.2">
      <c r="A30" s="4" t="s">
        <v>114</v>
      </c>
      <c r="B30" s="5" t="s">
        <v>115</v>
      </c>
      <c r="C30" s="6" t="s">
        <v>29</v>
      </c>
      <c r="D30" s="6" t="s">
        <v>116</v>
      </c>
      <c r="E30" s="5" t="s">
        <v>117</v>
      </c>
      <c r="F30" s="6">
        <v>5</v>
      </c>
      <c r="G30" s="6">
        <v>5</v>
      </c>
      <c r="H30" s="6">
        <f t="shared" si="0"/>
        <v>25</v>
      </c>
      <c r="I30" s="6">
        <v>6</v>
      </c>
      <c r="J30" s="4" t="s">
        <v>32</v>
      </c>
      <c r="K30" s="5" t="s">
        <v>118</v>
      </c>
      <c r="L30" s="6" t="s">
        <v>34</v>
      </c>
      <c r="M30" s="6" t="s">
        <v>35</v>
      </c>
      <c r="N30" s="6" t="s">
        <v>36</v>
      </c>
    </row>
    <row r="31" spans="1:14" ht="31" customHeight="1" x14ac:dyDescent="0.2">
      <c r="A31" s="4" t="s">
        <v>119</v>
      </c>
      <c r="B31" s="5" t="s">
        <v>120</v>
      </c>
      <c r="C31" s="6" t="s">
        <v>29</v>
      </c>
      <c r="D31" s="6" t="s">
        <v>116</v>
      </c>
      <c r="E31" s="5" t="s">
        <v>117</v>
      </c>
      <c r="F31" s="6">
        <v>4</v>
      </c>
      <c r="G31" s="6">
        <v>4</v>
      </c>
      <c r="H31" s="6">
        <f t="shared" si="0"/>
        <v>16</v>
      </c>
      <c r="I31" s="6">
        <v>6</v>
      </c>
      <c r="J31" s="4" t="s">
        <v>32</v>
      </c>
      <c r="K31" s="5" t="s">
        <v>121</v>
      </c>
      <c r="L31" s="6" t="s">
        <v>34</v>
      </c>
      <c r="M31" s="6" t="s">
        <v>35</v>
      </c>
      <c r="N31" s="6" t="s">
        <v>36</v>
      </c>
    </row>
    <row r="32" spans="1:14" ht="31" customHeight="1" x14ac:dyDescent="0.2">
      <c r="A32" s="4" t="s">
        <v>122</v>
      </c>
      <c r="B32" s="5" t="s">
        <v>123</v>
      </c>
      <c r="C32" s="6" t="s">
        <v>29</v>
      </c>
      <c r="D32" s="6" t="s">
        <v>124</v>
      </c>
      <c r="E32" s="5" t="s">
        <v>117</v>
      </c>
      <c r="F32" s="6">
        <v>2</v>
      </c>
      <c r="G32" s="6">
        <v>2</v>
      </c>
      <c r="H32" s="6">
        <f t="shared" si="0"/>
        <v>4</v>
      </c>
      <c r="I32" s="6">
        <v>8</v>
      </c>
      <c r="J32" s="4" t="s">
        <v>103</v>
      </c>
      <c r="K32" s="5" t="s">
        <v>125</v>
      </c>
      <c r="L32" s="6" t="s">
        <v>105</v>
      </c>
      <c r="M32" s="6" t="s">
        <v>35</v>
      </c>
      <c r="N32" s="6" t="s">
        <v>36</v>
      </c>
    </row>
    <row r="33" spans="1:14" ht="44.5" customHeight="1" x14ac:dyDescent="0.2">
      <c r="A33" s="4" t="s">
        <v>126</v>
      </c>
      <c r="B33" s="5" t="s">
        <v>127</v>
      </c>
      <c r="C33" s="6" t="s">
        <v>29</v>
      </c>
      <c r="D33" s="6" t="s">
        <v>128</v>
      </c>
      <c r="E33" s="5" t="s">
        <v>129</v>
      </c>
      <c r="F33" s="6">
        <v>5</v>
      </c>
      <c r="G33" s="6">
        <v>5</v>
      </c>
      <c r="H33" s="6">
        <f t="shared" si="0"/>
        <v>25</v>
      </c>
      <c r="I33" s="6">
        <v>14</v>
      </c>
      <c r="J33" s="4" t="s">
        <v>32</v>
      </c>
      <c r="K33" s="5" t="s">
        <v>130</v>
      </c>
      <c r="L33" s="6" t="s">
        <v>34</v>
      </c>
      <c r="M33" s="6" t="s">
        <v>67</v>
      </c>
      <c r="N33" s="6" t="s">
        <v>36</v>
      </c>
    </row>
    <row r="34" spans="1:14" ht="31" customHeight="1" x14ac:dyDescent="0.2">
      <c r="A34" s="4" t="s">
        <v>131</v>
      </c>
      <c r="B34" s="5" t="s">
        <v>132</v>
      </c>
      <c r="C34" s="6" t="s">
        <v>29</v>
      </c>
      <c r="D34" s="6" t="s">
        <v>128</v>
      </c>
      <c r="E34" s="5" t="s">
        <v>129</v>
      </c>
      <c r="F34" s="6">
        <v>4</v>
      </c>
      <c r="G34" s="6">
        <v>4</v>
      </c>
      <c r="H34" s="6">
        <f t="shared" si="0"/>
        <v>16</v>
      </c>
      <c r="I34" s="6">
        <v>3</v>
      </c>
      <c r="J34" s="4" t="s">
        <v>32</v>
      </c>
      <c r="K34" s="5" t="s">
        <v>133</v>
      </c>
      <c r="L34" s="6" t="s">
        <v>34</v>
      </c>
      <c r="M34" s="6" t="s">
        <v>67</v>
      </c>
      <c r="N34" s="6" t="s">
        <v>36</v>
      </c>
    </row>
    <row r="35" spans="1:14" ht="44.5" customHeight="1" x14ac:dyDescent="0.2">
      <c r="A35" s="4" t="s">
        <v>134</v>
      </c>
      <c r="B35" s="5" t="s">
        <v>135</v>
      </c>
      <c r="C35" s="6" t="s">
        <v>29</v>
      </c>
      <c r="D35" s="6" t="s">
        <v>128</v>
      </c>
      <c r="E35" s="5" t="s">
        <v>129</v>
      </c>
      <c r="F35" s="6">
        <v>3</v>
      </c>
      <c r="G35" s="6">
        <v>3</v>
      </c>
      <c r="H35" s="6">
        <f t="shared" si="0"/>
        <v>9</v>
      </c>
      <c r="I35" s="6">
        <v>3</v>
      </c>
      <c r="J35" s="4" t="s">
        <v>32</v>
      </c>
      <c r="K35" s="5" t="s">
        <v>136</v>
      </c>
      <c r="L35" s="6" t="s">
        <v>34</v>
      </c>
      <c r="M35" s="6" t="s">
        <v>67</v>
      </c>
      <c r="N35" s="6" t="s">
        <v>36</v>
      </c>
    </row>
    <row r="36" spans="1:14" ht="31" customHeight="1" x14ac:dyDescent="0.2">
      <c r="A36" s="4" t="s">
        <v>137</v>
      </c>
      <c r="B36" s="5" t="s">
        <v>138</v>
      </c>
      <c r="C36" s="6" t="s">
        <v>29</v>
      </c>
      <c r="D36" s="6" t="s">
        <v>139</v>
      </c>
      <c r="E36" s="5" t="s">
        <v>129</v>
      </c>
      <c r="F36" s="6">
        <v>4</v>
      </c>
      <c r="G36" s="6">
        <v>5</v>
      </c>
      <c r="H36" s="6">
        <f t="shared" si="0"/>
        <v>20</v>
      </c>
      <c r="I36" s="6">
        <v>5</v>
      </c>
      <c r="J36" s="4" t="s">
        <v>32</v>
      </c>
      <c r="K36" s="5" t="s">
        <v>140</v>
      </c>
      <c r="L36" s="6" t="s">
        <v>34</v>
      </c>
      <c r="M36" s="6" t="s">
        <v>67</v>
      </c>
      <c r="N36" s="6" t="s">
        <v>36</v>
      </c>
    </row>
    <row r="37" spans="1:14" ht="44.5" customHeight="1" x14ac:dyDescent="0.2">
      <c r="A37" s="4" t="s">
        <v>141</v>
      </c>
      <c r="B37" s="5" t="s">
        <v>142</v>
      </c>
      <c r="C37" s="6" t="s">
        <v>29</v>
      </c>
      <c r="D37" s="6" t="s">
        <v>116</v>
      </c>
      <c r="E37" s="5" t="s">
        <v>129</v>
      </c>
      <c r="F37" s="6">
        <v>4</v>
      </c>
      <c r="G37" s="6">
        <v>5</v>
      </c>
      <c r="H37" s="6">
        <f t="shared" si="0"/>
        <v>20</v>
      </c>
      <c r="I37" s="6">
        <v>6</v>
      </c>
      <c r="J37" s="4" t="s">
        <v>32</v>
      </c>
      <c r="K37" s="5" t="s">
        <v>143</v>
      </c>
      <c r="L37" s="6" t="s">
        <v>34</v>
      </c>
      <c r="M37" s="6" t="s">
        <v>67</v>
      </c>
      <c r="N37" s="6" t="s">
        <v>36</v>
      </c>
    </row>
    <row r="38" spans="1:14" ht="44.5" customHeight="1" x14ac:dyDescent="0.2">
      <c r="A38" s="4" t="s">
        <v>144</v>
      </c>
      <c r="B38" s="5" t="s">
        <v>145</v>
      </c>
      <c r="C38" s="6" t="s">
        <v>29</v>
      </c>
      <c r="D38" s="6" t="s">
        <v>116</v>
      </c>
      <c r="E38" s="5" t="s">
        <v>129</v>
      </c>
      <c r="F38" s="6">
        <v>4</v>
      </c>
      <c r="G38" s="6">
        <v>5</v>
      </c>
      <c r="H38" s="6">
        <f t="shared" si="0"/>
        <v>20</v>
      </c>
      <c r="I38" s="6">
        <v>3</v>
      </c>
      <c r="J38" s="4" t="s">
        <v>32</v>
      </c>
      <c r="K38" s="5" t="s">
        <v>146</v>
      </c>
      <c r="L38" s="6" t="s">
        <v>34</v>
      </c>
      <c r="M38" s="6" t="s">
        <v>67</v>
      </c>
      <c r="N38" s="6" t="s">
        <v>36</v>
      </c>
    </row>
    <row r="39" spans="1:14" ht="44.5" customHeight="1" x14ac:dyDescent="0.2">
      <c r="A39" s="4" t="s">
        <v>147</v>
      </c>
      <c r="B39" s="5" t="s">
        <v>148</v>
      </c>
      <c r="C39" s="6" t="s">
        <v>29</v>
      </c>
      <c r="D39" s="6" t="s">
        <v>149</v>
      </c>
      <c r="E39" s="5" t="s">
        <v>112</v>
      </c>
      <c r="F39" s="6">
        <v>5</v>
      </c>
      <c r="G39" s="6">
        <v>5</v>
      </c>
      <c r="H39" s="6">
        <f t="shared" si="0"/>
        <v>25</v>
      </c>
      <c r="I39" s="6">
        <v>3</v>
      </c>
      <c r="J39" s="4" t="s">
        <v>32</v>
      </c>
      <c r="K39" s="5" t="s">
        <v>150</v>
      </c>
      <c r="L39" s="6" t="s">
        <v>34</v>
      </c>
      <c r="M39" s="6" t="s">
        <v>35</v>
      </c>
      <c r="N39" s="6" t="s">
        <v>36</v>
      </c>
    </row>
    <row r="40" spans="1:14" ht="44.5" customHeight="1" x14ac:dyDescent="0.2">
      <c r="A40" s="4" t="s">
        <v>151</v>
      </c>
      <c r="B40" s="5" t="s">
        <v>152</v>
      </c>
      <c r="C40" s="6" t="s">
        <v>29</v>
      </c>
      <c r="D40" s="6" t="s">
        <v>153</v>
      </c>
      <c r="E40" s="5" t="s">
        <v>112</v>
      </c>
      <c r="F40" s="6">
        <v>5</v>
      </c>
      <c r="G40" s="6">
        <v>4</v>
      </c>
      <c r="H40" s="6">
        <f t="shared" si="0"/>
        <v>20</v>
      </c>
      <c r="I40" s="6">
        <v>8</v>
      </c>
      <c r="J40" s="4" t="s">
        <v>32</v>
      </c>
      <c r="K40" s="5" t="s">
        <v>154</v>
      </c>
      <c r="L40" s="6" t="s">
        <v>34</v>
      </c>
      <c r="M40" s="6" t="s">
        <v>35</v>
      </c>
      <c r="N40" s="6" t="s">
        <v>36</v>
      </c>
    </row>
    <row r="41" spans="1:14" ht="31" customHeight="1" x14ac:dyDescent="0.2">
      <c r="A41" s="4" t="s">
        <v>155</v>
      </c>
      <c r="B41" s="5" t="s">
        <v>156</v>
      </c>
      <c r="C41" s="6" t="s">
        <v>29</v>
      </c>
      <c r="D41" s="6" t="s">
        <v>157</v>
      </c>
      <c r="E41" s="5" t="s">
        <v>112</v>
      </c>
      <c r="F41" s="6">
        <v>3</v>
      </c>
      <c r="G41" s="6">
        <v>2</v>
      </c>
      <c r="H41" s="6">
        <f t="shared" si="0"/>
        <v>6</v>
      </c>
      <c r="I41" s="6">
        <v>12</v>
      </c>
      <c r="J41" s="4" t="s">
        <v>44</v>
      </c>
      <c r="K41" s="5" t="s">
        <v>158</v>
      </c>
      <c r="L41" s="6" t="s">
        <v>46</v>
      </c>
      <c r="M41" s="6" t="s">
        <v>35</v>
      </c>
      <c r="N41" s="6" t="s">
        <v>36</v>
      </c>
    </row>
    <row r="42" spans="1:14" ht="44.5" customHeight="1" x14ac:dyDescent="0.2">
      <c r="A42" s="4" t="s">
        <v>159</v>
      </c>
      <c r="B42" s="5" t="s">
        <v>160</v>
      </c>
      <c r="C42" s="6" t="s">
        <v>29</v>
      </c>
      <c r="D42" s="6" t="s">
        <v>64</v>
      </c>
      <c r="E42" s="5" t="s">
        <v>112</v>
      </c>
      <c r="F42" s="6">
        <v>4</v>
      </c>
      <c r="G42" s="6">
        <v>5</v>
      </c>
      <c r="H42" s="6">
        <f t="shared" si="0"/>
        <v>20</v>
      </c>
      <c r="I42" s="6">
        <v>10</v>
      </c>
      <c r="J42" s="4" t="s">
        <v>32</v>
      </c>
      <c r="K42" s="5" t="s">
        <v>161</v>
      </c>
      <c r="L42" s="6" t="s">
        <v>34</v>
      </c>
      <c r="M42" s="6" t="s">
        <v>35</v>
      </c>
      <c r="N42" s="6" t="s">
        <v>36</v>
      </c>
    </row>
    <row r="43" spans="1:14" ht="44.5" customHeight="1" x14ac:dyDescent="0.2">
      <c r="A43" s="4" t="s">
        <v>162</v>
      </c>
      <c r="B43" s="5" t="s">
        <v>163</v>
      </c>
      <c r="C43" s="6" t="s">
        <v>29</v>
      </c>
      <c r="D43" s="6" t="s">
        <v>157</v>
      </c>
      <c r="E43" s="5" t="s">
        <v>112</v>
      </c>
      <c r="F43" s="6">
        <v>3</v>
      </c>
      <c r="G43" s="6">
        <v>2</v>
      </c>
      <c r="H43" s="6">
        <f t="shared" ref="H43:H66" si="1">F43*G43</f>
        <v>6</v>
      </c>
      <c r="I43" s="6">
        <v>14</v>
      </c>
      <c r="J43" s="4" t="s">
        <v>44</v>
      </c>
      <c r="K43" s="5" t="s">
        <v>164</v>
      </c>
      <c r="L43" s="6" t="s">
        <v>46</v>
      </c>
      <c r="M43" s="6" t="s">
        <v>35</v>
      </c>
      <c r="N43" s="6" t="s">
        <v>36</v>
      </c>
    </row>
    <row r="44" spans="1:14" ht="44.5" customHeight="1" x14ac:dyDescent="0.2">
      <c r="A44" s="4" t="s">
        <v>165</v>
      </c>
      <c r="B44" s="5" t="s">
        <v>166</v>
      </c>
      <c r="C44" s="6" t="s">
        <v>29</v>
      </c>
      <c r="D44" s="6" t="s">
        <v>167</v>
      </c>
      <c r="E44" s="5" t="s">
        <v>65</v>
      </c>
      <c r="F44" s="6">
        <v>5</v>
      </c>
      <c r="G44" s="6">
        <v>5</v>
      </c>
      <c r="H44" s="6">
        <f t="shared" si="1"/>
        <v>25</v>
      </c>
      <c r="I44" s="6">
        <v>8</v>
      </c>
      <c r="J44" s="4" t="s">
        <v>32</v>
      </c>
      <c r="K44" s="5" t="s">
        <v>168</v>
      </c>
      <c r="L44" s="6" t="s">
        <v>34</v>
      </c>
      <c r="M44" s="6" t="s">
        <v>67</v>
      </c>
      <c r="N44" s="6" t="s">
        <v>36</v>
      </c>
    </row>
    <row r="45" spans="1:14" ht="44.5" customHeight="1" x14ac:dyDescent="0.2">
      <c r="A45" s="4" t="s">
        <v>169</v>
      </c>
      <c r="B45" s="5" t="s">
        <v>170</v>
      </c>
      <c r="C45" s="6" t="s">
        <v>29</v>
      </c>
      <c r="D45" s="6" t="s">
        <v>167</v>
      </c>
      <c r="E45" s="5" t="s">
        <v>65</v>
      </c>
      <c r="F45" s="6">
        <v>5</v>
      </c>
      <c r="G45" s="6">
        <v>5</v>
      </c>
      <c r="H45" s="6">
        <f t="shared" si="1"/>
        <v>25</v>
      </c>
      <c r="I45" s="6">
        <v>12</v>
      </c>
      <c r="J45" s="4" t="s">
        <v>32</v>
      </c>
      <c r="K45" s="5" t="s">
        <v>171</v>
      </c>
      <c r="L45" s="6" t="s">
        <v>34</v>
      </c>
      <c r="M45" s="6" t="s">
        <v>67</v>
      </c>
      <c r="N45" s="6" t="s">
        <v>36</v>
      </c>
    </row>
    <row r="46" spans="1:14" ht="44.5" customHeight="1" x14ac:dyDescent="0.2">
      <c r="A46" s="4" t="s">
        <v>172</v>
      </c>
      <c r="B46" s="5" t="s">
        <v>173</v>
      </c>
      <c r="C46" s="6" t="s">
        <v>29</v>
      </c>
      <c r="D46" s="6" t="s">
        <v>167</v>
      </c>
      <c r="E46" s="5" t="s">
        <v>65</v>
      </c>
      <c r="F46" s="6">
        <v>5</v>
      </c>
      <c r="G46" s="6">
        <v>5</v>
      </c>
      <c r="H46" s="6">
        <f t="shared" si="1"/>
        <v>25</v>
      </c>
      <c r="I46" s="6">
        <v>6</v>
      </c>
      <c r="J46" s="4" t="s">
        <v>32</v>
      </c>
      <c r="K46" s="5" t="s">
        <v>174</v>
      </c>
      <c r="L46" s="6" t="s">
        <v>34</v>
      </c>
      <c r="M46" s="6" t="s">
        <v>67</v>
      </c>
      <c r="N46" s="6" t="s">
        <v>36</v>
      </c>
    </row>
    <row r="47" spans="1:14" ht="44.5" customHeight="1" x14ac:dyDescent="0.2">
      <c r="A47" s="4" t="s">
        <v>175</v>
      </c>
      <c r="B47" s="5" t="s">
        <v>176</v>
      </c>
      <c r="C47" s="6" t="s">
        <v>29</v>
      </c>
      <c r="D47" s="6" t="s">
        <v>167</v>
      </c>
      <c r="E47" s="5" t="s">
        <v>65</v>
      </c>
      <c r="F47" s="6">
        <v>4</v>
      </c>
      <c r="G47" s="6">
        <v>5</v>
      </c>
      <c r="H47" s="6">
        <f t="shared" si="1"/>
        <v>20</v>
      </c>
      <c r="I47" s="6">
        <v>8</v>
      </c>
      <c r="J47" s="4" t="s">
        <v>32</v>
      </c>
      <c r="K47" s="5" t="s">
        <v>177</v>
      </c>
      <c r="L47" s="6" t="s">
        <v>34</v>
      </c>
      <c r="M47" s="6" t="s">
        <v>67</v>
      </c>
      <c r="N47" s="6" t="s">
        <v>36</v>
      </c>
    </row>
    <row r="48" spans="1:14" ht="44.5" customHeight="1" x14ac:dyDescent="0.2">
      <c r="A48" s="4" t="s">
        <v>178</v>
      </c>
      <c r="B48" s="5" t="s">
        <v>179</v>
      </c>
      <c r="C48" s="6" t="s">
        <v>29</v>
      </c>
      <c r="D48" s="6" t="s">
        <v>167</v>
      </c>
      <c r="E48" s="5" t="s">
        <v>65</v>
      </c>
      <c r="F48" s="6">
        <v>4</v>
      </c>
      <c r="G48" s="6">
        <v>5</v>
      </c>
      <c r="H48" s="6">
        <f t="shared" si="1"/>
        <v>20</v>
      </c>
      <c r="I48" s="6">
        <v>4</v>
      </c>
      <c r="J48" s="4" t="s">
        <v>32</v>
      </c>
      <c r="K48" s="5" t="s">
        <v>180</v>
      </c>
      <c r="L48" s="6" t="s">
        <v>34</v>
      </c>
      <c r="M48" s="6" t="s">
        <v>67</v>
      </c>
      <c r="N48" s="6" t="s">
        <v>36</v>
      </c>
    </row>
    <row r="49" spans="1:14" ht="44.5" customHeight="1" x14ac:dyDescent="0.2">
      <c r="A49" s="4" t="s">
        <v>181</v>
      </c>
      <c r="B49" s="5" t="s">
        <v>182</v>
      </c>
      <c r="C49" s="6" t="s">
        <v>29</v>
      </c>
      <c r="D49" s="6" t="s">
        <v>183</v>
      </c>
      <c r="E49" s="5" t="s">
        <v>65</v>
      </c>
      <c r="F49" s="6">
        <v>4</v>
      </c>
      <c r="G49" s="6">
        <v>5</v>
      </c>
      <c r="H49" s="6">
        <f t="shared" si="1"/>
        <v>20</v>
      </c>
      <c r="I49" s="6">
        <v>8</v>
      </c>
      <c r="J49" s="4" t="s">
        <v>32</v>
      </c>
      <c r="K49" s="5" t="s">
        <v>184</v>
      </c>
      <c r="L49" s="6" t="s">
        <v>34</v>
      </c>
      <c r="M49" s="6" t="s">
        <v>67</v>
      </c>
      <c r="N49" s="6" t="s">
        <v>36</v>
      </c>
    </row>
    <row r="50" spans="1:14" ht="44.5" customHeight="1" x14ac:dyDescent="0.2">
      <c r="A50" s="4" t="s">
        <v>185</v>
      </c>
      <c r="B50" s="5" t="s">
        <v>186</v>
      </c>
      <c r="C50" s="6" t="s">
        <v>29</v>
      </c>
      <c r="D50" s="6" t="s">
        <v>153</v>
      </c>
      <c r="E50" s="5" t="s">
        <v>65</v>
      </c>
      <c r="F50" s="6">
        <v>2</v>
      </c>
      <c r="G50" s="6">
        <v>2</v>
      </c>
      <c r="H50" s="6">
        <f t="shared" si="1"/>
        <v>4</v>
      </c>
      <c r="I50" s="6">
        <v>3</v>
      </c>
      <c r="J50" s="4" t="s">
        <v>103</v>
      </c>
      <c r="K50" s="5" t="s">
        <v>187</v>
      </c>
      <c r="L50" s="6" t="s">
        <v>105</v>
      </c>
      <c r="M50" s="6" t="s">
        <v>67</v>
      </c>
      <c r="N50" s="6" t="s">
        <v>36</v>
      </c>
    </row>
    <row r="51" spans="1:14" ht="31" customHeight="1" x14ac:dyDescent="0.2">
      <c r="A51" s="4" t="s">
        <v>188</v>
      </c>
      <c r="B51" s="5" t="s">
        <v>189</v>
      </c>
      <c r="C51" s="6" t="s">
        <v>29</v>
      </c>
      <c r="D51" s="6" t="s">
        <v>190</v>
      </c>
      <c r="E51" s="5" t="s">
        <v>112</v>
      </c>
      <c r="F51" s="6">
        <v>3</v>
      </c>
      <c r="G51" s="6">
        <v>2</v>
      </c>
      <c r="H51" s="6">
        <f t="shared" si="1"/>
        <v>6</v>
      </c>
      <c r="I51" s="6">
        <v>4</v>
      </c>
      <c r="J51" s="4" t="s">
        <v>44</v>
      </c>
      <c r="K51" s="5" t="s">
        <v>191</v>
      </c>
      <c r="L51" s="6" t="s">
        <v>46</v>
      </c>
      <c r="M51" s="6" t="s">
        <v>35</v>
      </c>
      <c r="N51" s="6" t="s">
        <v>36</v>
      </c>
    </row>
    <row r="52" spans="1:14" ht="31" customHeight="1" x14ac:dyDescent="0.2">
      <c r="A52" s="4" t="s">
        <v>192</v>
      </c>
      <c r="B52" s="5" t="s">
        <v>193</v>
      </c>
      <c r="C52" s="6" t="s">
        <v>29</v>
      </c>
      <c r="D52" s="6" t="s">
        <v>194</v>
      </c>
      <c r="E52" s="5" t="s">
        <v>112</v>
      </c>
      <c r="F52" s="6">
        <v>2</v>
      </c>
      <c r="G52" s="6">
        <v>2</v>
      </c>
      <c r="H52" s="6">
        <f t="shared" si="1"/>
        <v>4</v>
      </c>
      <c r="I52" s="6">
        <v>6</v>
      </c>
      <c r="J52" s="4" t="s">
        <v>103</v>
      </c>
      <c r="K52" s="5" t="s">
        <v>195</v>
      </c>
      <c r="L52" s="6" t="s">
        <v>105</v>
      </c>
      <c r="M52" s="6" t="s">
        <v>35</v>
      </c>
      <c r="N52" s="6" t="s">
        <v>36</v>
      </c>
    </row>
    <row r="53" spans="1:14" ht="44.5" customHeight="1" x14ac:dyDescent="0.2">
      <c r="A53" s="4" t="s">
        <v>197</v>
      </c>
      <c r="B53" s="5" t="s">
        <v>198</v>
      </c>
      <c r="C53" s="6" t="s">
        <v>199</v>
      </c>
      <c r="D53" s="6" t="s">
        <v>102</v>
      </c>
      <c r="E53" s="5" t="s">
        <v>79</v>
      </c>
      <c r="F53" s="6">
        <v>5</v>
      </c>
      <c r="G53" s="6">
        <v>4</v>
      </c>
      <c r="H53" s="6">
        <f t="shared" si="1"/>
        <v>20</v>
      </c>
      <c r="I53" s="6">
        <v>6</v>
      </c>
      <c r="J53" s="4" t="s">
        <v>32</v>
      </c>
      <c r="K53" s="5" t="s">
        <v>200</v>
      </c>
      <c r="L53" s="6" t="s">
        <v>34</v>
      </c>
      <c r="M53" s="6" t="s">
        <v>81</v>
      </c>
      <c r="N53" s="6" t="s">
        <v>36</v>
      </c>
    </row>
    <row r="54" spans="1:14" ht="44.5" customHeight="1" x14ac:dyDescent="0.2">
      <c r="A54" s="4" t="s">
        <v>201</v>
      </c>
      <c r="B54" s="5" t="s">
        <v>202</v>
      </c>
      <c r="C54" s="6" t="s">
        <v>199</v>
      </c>
      <c r="D54" s="6" t="s">
        <v>102</v>
      </c>
      <c r="E54" s="5" t="s">
        <v>79</v>
      </c>
      <c r="F54" s="6">
        <v>4</v>
      </c>
      <c r="G54" s="6">
        <v>3</v>
      </c>
      <c r="H54" s="6">
        <f t="shared" si="1"/>
        <v>12</v>
      </c>
      <c r="I54" s="6">
        <v>4</v>
      </c>
      <c r="J54" s="4" t="s">
        <v>32</v>
      </c>
      <c r="K54" s="5" t="s">
        <v>203</v>
      </c>
      <c r="L54" s="6" t="s">
        <v>34</v>
      </c>
      <c r="M54" s="6" t="s">
        <v>81</v>
      </c>
      <c r="N54" s="6" t="s">
        <v>36</v>
      </c>
    </row>
    <row r="55" spans="1:14" ht="31" customHeight="1" x14ac:dyDescent="0.2">
      <c r="A55" s="4" t="s">
        <v>204</v>
      </c>
      <c r="B55" s="5" t="s">
        <v>205</v>
      </c>
      <c r="C55" s="6" t="s">
        <v>199</v>
      </c>
      <c r="D55" s="6" t="s">
        <v>102</v>
      </c>
      <c r="E55" s="5" t="s">
        <v>129</v>
      </c>
      <c r="F55" s="6">
        <v>4</v>
      </c>
      <c r="G55" s="6">
        <v>3</v>
      </c>
      <c r="H55" s="6">
        <f t="shared" si="1"/>
        <v>12</v>
      </c>
      <c r="I55" s="6">
        <v>3</v>
      </c>
      <c r="J55" s="4" t="s">
        <v>32</v>
      </c>
      <c r="K55" s="5" t="s">
        <v>206</v>
      </c>
      <c r="L55" s="6" t="s">
        <v>34</v>
      </c>
      <c r="M55" s="6" t="s">
        <v>67</v>
      </c>
      <c r="N55" s="6" t="s">
        <v>36</v>
      </c>
    </row>
    <row r="56" spans="1:14" ht="31" customHeight="1" x14ac:dyDescent="0.2">
      <c r="A56" s="4" t="s">
        <v>207</v>
      </c>
      <c r="B56" s="5" t="s">
        <v>208</v>
      </c>
      <c r="C56" s="6" t="s">
        <v>199</v>
      </c>
      <c r="D56" s="6" t="s">
        <v>102</v>
      </c>
      <c r="E56" s="5" t="s">
        <v>31</v>
      </c>
      <c r="F56" s="6">
        <v>3</v>
      </c>
      <c r="G56" s="6">
        <v>2</v>
      </c>
      <c r="H56" s="6">
        <f t="shared" si="1"/>
        <v>6</v>
      </c>
      <c r="I56" s="6">
        <v>4</v>
      </c>
      <c r="J56" s="4" t="s">
        <v>44</v>
      </c>
      <c r="K56" s="5" t="s">
        <v>209</v>
      </c>
      <c r="L56" s="6" t="s">
        <v>46</v>
      </c>
      <c r="M56" s="6" t="s">
        <v>35</v>
      </c>
      <c r="N56" s="6" t="s">
        <v>36</v>
      </c>
    </row>
    <row r="57" spans="1:14" ht="31" customHeight="1" x14ac:dyDescent="0.2">
      <c r="A57" s="4" t="s">
        <v>210</v>
      </c>
      <c r="B57" s="5" t="s">
        <v>211</v>
      </c>
      <c r="C57" s="6" t="s">
        <v>199</v>
      </c>
      <c r="D57" s="6" t="s">
        <v>102</v>
      </c>
      <c r="E57" s="5" t="s">
        <v>212</v>
      </c>
      <c r="F57" s="6">
        <v>4</v>
      </c>
      <c r="G57" s="6">
        <v>4</v>
      </c>
      <c r="H57" s="6">
        <f t="shared" si="1"/>
        <v>16</v>
      </c>
      <c r="I57" s="6">
        <v>8</v>
      </c>
      <c r="J57" s="4" t="s">
        <v>32</v>
      </c>
      <c r="K57" s="5" t="s">
        <v>213</v>
      </c>
      <c r="L57" s="6" t="s">
        <v>34</v>
      </c>
      <c r="M57" s="6" t="s">
        <v>214</v>
      </c>
      <c r="N57" s="6" t="s">
        <v>36</v>
      </c>
    </row>
    <row r="58" spans="1:14" ht="44.5" customHeight="1" x14ac:dyDescent="0.2">
      <c r="A58" s="4" t="s">
        <v>215</v>
      </c>
      <c r="B58" s="5" t="s">
        <v>216</v>
      </c>
      <c r="C58" s="6" t="s">
        <v>199</v>
      </c>
      <c r="D58" s="6" t="s">
        <v>102</v>
      </c>
      <c r="E58" s="5" t="s">
        <v>31</v>
      </c>
      <c r="F58" s="6">
        <v>4</v>
      </c>
      <c r="G58" s="6">
        <v>4</v>
      </c>
      <c r="H58" s="6">
        <f t="shared" si="1"/>
        <v>16</v>
      </c>
      <c r="I58" s="6">
        <v>4</v>
      </c>
      <c r="J58" s="4" t="s">
        <v>32</v>
      </c>
      <c r="K58" s="5" t="s">
        <v>217</v>
      </c>
      <c r="L58" s="6" t="s">
        <v>34</v>
      </c>
      <c r="M58" s="6" t="s">
        <v>35</v>
      </c>
      <c r="N58" s="6" t="s">
        <v>36</v>
      </c>
    </row>
    <row r="59" spans="1:14" ht="44.5" customHeight="1" x14ac:dyDescent="0.2">
      <c r="A59" s="4" t="s">
        <v>218</v>
      </c>
      <c r="B59" s="5" t="s">
        <v>219</v>
      </c>
      <c r="C59" s="6" t="s">
        <v>199</v>
      </c>
      <c r="D59" s="6" t="s">
        <v>102</v>
      </c>
      <c r="E59" s="5" t="s">
        <v>31</v>
      </c>
      <c r="F59" s="6">
        <v>4</v>
      </c>
      <c r="G59" s="6">
        <v>5</v>
      </c>
      <c r="H59" s="6">
        <f t="shared" si="1"/>
        <v>20</v>
      </c>
      <c r="I59" s="6">
        <v>5</v>
      </c>
      <c r="J59" s="4" t="s">
        <v>32</v>
      </c>
      <c r="K59" s="5" t="s">
        <v>220</v>
      </c>
      <c r="L59" s="6" t="s">
        <v>34</v>
      </c>
      <c r="M59" s="6" t="s">
        <v>35</v>
      </c>
      <c r="N59" s="6" t="s">
        <v>36</v>
      </c>
    </row>
    <row r="60" spans="1:14" ht="44.5" customHeight="1" x14ac:dyDescent="0.2">
      <c r="A60" s="4" t="s">
        <v>221</v>
      </c>
      <c r="B60" s="5" t="s">
        <v>222</v>
      </c>
      <c r="C60" s="6" t="s">
        <v>199</v>
      </c>
      <c r="D60" s="6" t="s">
        <v>102</v>
      </c>
      <c r="E60" s="5" t="s">
        <v>65</v>
      </c>
      <c r="F60" s="6">
        <v>5</v>
      </c>
      <c r="G60" s="6">
        <v>5</v>
      </c>
      <c r="H60" s="6">
        <f t="shared" si="1"/>
        <v>25</v>
      </c>
      <c r="I60" s="6">
        <v>4</v>
      </c>
      <c r="J60" s="4" t="s">
        <v>32</v>
      </c>
      <c r="K60" s="5" t="s">
        <v>223</v>
      </c>
      <c r="L60" s="6" t="s">
        <v>34</v>
      </c>
      <c r="M60" s="6" t="s">
        <v>67</v>
      </c>
      <c r="N60" s="6" t="s">
        <v>36</v>
      </c>
    </row>
    <row r="61" spans="1:14" ht="44.5" customHeight="1" x14ac:dyDescent="0.2">
      <c r="A61" s="4" t="s">
        <v>224</v>
      </c>
      <c r="B61" s="5" t="s">
        <v>225</v>
      </c>
      <c r="C61" s="6" t="s">
        <v>199</v>
      </c>
      <c r="D61" s="6" t="s">
        <v>102</v>
      </c>
      <c r="E61" s="5" t="s">
        <v>31</v>
      </c>
      <c r="F61" s="6">
        <v>3</v>
      </c>
      <c r="G61" s="6">
        <v>4</v>
      </c>
      <c r="H61" s="6">
        <f t="shared" si="1"/>
        <v>12</v>
      </c>
      <c r="I61" s="6">
        <v>20</v>
      </c>
      <c r="J61" s="4" t="s">
        <v>32</v>
      </c>
      <c r="K61" s="5" t="s">
        <v>226</v>
      </c>
      <c r="L61" s="6" t="s">
        <v>34</v>
      </c>
      <c r="M61" s="6" t="s">
        <v>35</v>
      </c>
      <c r="N61" s="6" t="s">
        <v>36</v>
      </c>
    </row>
    <row r="62" spans="1:14" ht="31" customHeight="1" x14ac:dyDescent="0.2">
      <c r="A62" s="4" t="s">
        <v>227</v>
      </c>
      <c r="B62" s="5" t="s">
        <v>228</v>
      </c>
      <c r="C62" s="6" t="s">
        <v>199</v>
      </c>
      <c r="D62" s="6" t="s">
        <v>102</v>
      </c>
      <c r="E62" s="5" t="s">
        <v>31</v>
      </c>
      <c r="F62" s="6">
        <v>3</v>
      </c>
      <c r="G62" s="6">
        <v>4</v>
      </c>
      <c r="H62" s="6">
        <f t="shared" si="1"/>
        <v>12</v>
      </c>
      <c r="I62" s="6">
        <v>8</v>
      </c>
      <c r="J62" s="4" t="s">
        <v>32</v>
      </c>
      <c r="K62" s="5" t="s">
        <v>229</v>
      </c>
      <c r="L62" s="6" t="s">
        <v>34</v>
      </c>
      <c r="M62" s="6" t="s">
        <v>35</v>
      </c>
      <c r="N62" s="6" t="s">
        <v>36</v>
      </c>
    </row>
    <row r="63" spans="1:14" ht="44.5" customHeight="1" x14ac:dyDescent="0.2">
      <c r="A63" s="4" t="s">
        <v>230</v>
      </c>
      <c r="B63" s="5" t="s">
        <v>231</v>
      </c>
      <c r="C63" s="6" t="s">
        <v>199</v>
      </c>
      <c r="D63" s="6" t="s">
        <v>102</v>
      </c>
      <c r="E63" s="5" t="s">
        <v>31</v>
      </c>
      <c r="F63" s="6">
        <v>3</v>
      </c>
      <c r="G63" s="6">
        <v>2</v>
      </c>
      <c r="H63" s="6">
        <f t="shared" si="1"/>
        <v>6</v>
      </c>
      <c r="I63" s="6">
        <v>3</v>
      </c>
      <c r="J63" s="4" t="s">
        <v>44</v>
      </c>
      <c r="K63" s="5" t="s">
        <v>232</v>
      </c>
      <c r="L63" s="6" t="s">
        <v>46</v>
      </c>
      <c r="M63" s="6" t="s">
        <v>35</v>
      </c>
      <c r="N63" s="6" t="s">
        <v>36</v>
      </c>
    </row>
    <row r="64" spans="1:14" ht="31" customHeight="1" x14ac:dyDescent="0.2">
      <c r="A64" s="4" t="s">
        <v>233</v>
      </c>
      <c r="B64" s="5" t="s">
        <v>234</v>
      </c>
      <c r="C64" s="6" t="s">
        <v>199</v>
      </c>
      <c r="D64" s="6" t="s">
        <v>102</v>
      </c>
      <c r="E64" s="5" t="s">
        <v>117</v>
      </c>
      <c r="F64" s="6">
        <v>4</v>
      </c>
      <c r="G64" s="6">
        <v>4</v>
      </c>
      <c r="H64" s="6">
        <f t="shared" si="1"/>
        <v>16</v>
      </c>
      <c r="I64" s="6">
        <v>20</v>
      </c>
      <c r="J64" s="4" t="s">
        <v>32</v>
      </c>
      <c r="K64" s="5" t="s">
        <v>235</v>
      </c>
      <c r="L64" s="6" t="s">
        <v>34</v>
      </c>
      <c r="M64" s="6" t="s">
        <v>35</v>
      </c>
      <c r="N64" s="6" t="s">
        <v>36</v>
      </c>
    </row>
    <row r="65" spans="1:14" ht="44.5" customHeight="1" x14ac:dyDescent="0.2">
      <c r="A65" s="4" t="s">
        <v>236</v>
      </c>
      <c r="B65" s="5" t="s">
        <v>237</v>
      </c>
      <c r="C65" s="6" t="s">
        <v>199</v>
      </c>
      <c r="D65" s="6" t="s">
        <v>102</v>
      </c>
      <c r="E65" s="5" t="s">
        <v>65</v>
      </c>
      <c r="F65" s="6">
        <v>4</v>
      </c>
      <c r="G65" s="6">
        <v>4</v>
      </c>
      <c r="H65" s="6">
        <f t="shared" si="1"/>
        <v>16</v>
      </c>
      <c r="I65" s="6">
        <v>6</v>
      </c>
      <c r="J65" s="4" t="s">
        <v>32</v>
      </c>
      <c r="K65" s="5" t="s">
        <v>238</v>
      </c>
      <c r="L65" s="6" t="s">
        <v>34</v>
      </c>
      <c r="M65" s="6" t="s">
        <v>67</v>
      </c>
      <c r="N65" s="6" t="s">
        <v>36</v>
      </c>
    </row>
    <row r="66" spans="1:14" ht="44.5" customHeight="1" x14ac:dyDescent="0.2">
      <c r="A66" s="4" t="s">
        <v>239</v>
      </c>
      <c r="B66" s="5" t="s">
        <v>240</v>
      </c>
      <c r="C66" s="6" t="s">
        <v>199</v>
      </c>
      <c r="D66" s="6" t="s">
        <v>102</v>
      </c>
      <c r="E66" s="5" t="s">
        <v>65</v>
      </c>
      <c r="F66" s="6">
        <v>4</v>
      </c>
      <c r="G66" s="6">
        <v>4</v>
      </c>
      <c r="H66" s="6">
        <f t="shared" si="1"/>
        <v>16</v>
      </c>
      <c r="I66" s="6">
        <v>4</v>
      </c>
      <c r="J66" s="4" t="s">
        <v>32</v>
      </c>
      <c r="K66" s="5" t="s">
        <v>241</v>
      </c>
      <c r="L66" s="6" t="s">
        <v>34</v>
      </c>
      <c r="M66" s="6" t="s">
        <v>67</v>
      </c>
      <c r="N66" s="6" t="s">
        <v>36</v>
      </c>
    </row>
  </sheetData>
  <autoFilter ref="A10:N66" xr:uid="{00000000-0009-0000-0000-000000000000}"/>
  <mergeCells count="12">
    <mergeCell ref="C8:N8"/>
    <mergeCell ref="C3:N3"/>
    <mergeCell ref="A8:B8"/>
    <mergeCell ref="A3:B3"/>
    <mergeCell ref="A6:B6"/>
    <mergeCell ref="C4:N4"/>
    <mergeCell ref="A4:B4"/>
    <mergeCell ref="C6:N6"/>
    <mergeCell ref="A7:B7"/>
    <mergeCell ref="C5:N5"/>
    <mergeCell ref="A5:B5"/>
    <mergeCell ref="C7:N7"/>
  </mergeCells>
  <conditionalFormatting sqref="J11:J66">
    <cfRule type="expression" dxfId="5" priority="1">
      <formula>$J11="Must"</formula>
    </cfRule>
    <cfRule type="expression" dxfId="4" priority="2">
      <formula>$J11="Should"</formula>
    </cfRule>
    <cfRule type="expression" dxfId="3" priority="3">
      <formula>$J11="Could"</formula>
    </cfRule>
    <cfRule type="expression" dxfId="2" priority="4">
      <formula>$J11="Won't"</formula>
    </cfRule>
  </conditionalFormatting>
  <dataValidations count="4">
    <dataValidation type="list" sqref="J11:J66" xr:uid="{00000000-0002-0000-0000-000000000000}">
      <formula1>"Must,Should,Could,Won't"</formula1>
    </dataValidation>
    <dataValidation type="list" sqref="C11:C66" xr:uid="{00000000-0002-0000-0000-000001000000}">
      <formula1>"RF,RNF"</formula1>
    </dataValidation>
    <dataValidation type="list" sqref="N11:N66" xr:uid="{00000000-0002-0000-0000-000002000000}">
      <formula1>"Propuesto,Aprobado,En desarrollo,Completado,Aceptado,Diferido,Cancelado"</formula1>
    </dataValidation>
    <dataValidation type="whole" sqref="F11:G66" xr:uid="{00000000-0002-0000-0000-000003000000}">
      <formula1>1</formula1>
      <formula2>5</formula2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A30" sqref="A30"/>
    </sheetView>
  </sheetViews>
  <sheetFormatPr baseColWidth="10" defaultColWidth="8.83203125" defaultRowHeight="15" x14ac:dyDescent="0.2"/>
  <cols>
    <col min="1" max="1" width="16" customWidth="1"/>
    <col min="2" max="7" width="14" customWidth="1"/>
  </cols>
  <sheetData>
    <row r="1" spans="1:7" ht="21" x14ac:dyDescent="0.25">
      <c r="A1" s="7" t="s">
        <v>242</v>
      </c>
    </row>
    <row r="3" spans="1:7" ht="16" x14ac:dyDescent="0.2">
      <c r="A3" s="3" t="s">
        <v>243</v>
      </c>
      <c r="B3" s="3" t="s">
        <v>244</v>
      </c>
      <c r="C3" s="3" t="s">
        <v>245</v>
      </c>
      <c r="D3" s="3" t="s">
        <v>246</v>
      </c>
      <c r="E3" s="3" t="s">
        <v>247</v>
      </c>
      <c r="F3" s="3" t="s">
        <v>248</v>
      </c>
      <c r="G3" s="3" t="s">
        <v>249</v>
      </c>
    </row>
    <row r="4" spans="1:7" x14ac:dyDescent="0.2">
      <c r="A4" s="8" t="s">
        <v>32</v>
      </c>
      <c r="B4" s="9">
        <f>COUNTIFS('Priorización MoSCoW'!$J$11:$J$66,A4,'Priorización MoSCoW'!$C$11:$C$66,"RF")</f>
        <v>30</v>
      </c>
      <c r="C4" s="9">
        <f>COUNTIFS('Priorización MoSCoW'!$J$11:$J$66,A4,'Priorización MoSCoW'!$C$11:$C$66,"RNF")</f>
        <v>12</v>
      </c>
      <c r="D4" s="9">
        <f>B4+C4</f>
        <v>42</v>
      </c>
      <c r="E4" s="10">
        <f>IFERROR(D4/$D$8,0)</f>
        <v>0.75</v>
      </c>
      <c r="F4" s="9">
        <f>SUMIF('Priorización MoSCoW'!$J$11:$J$66,A4,'Priorización MoSCoW'!$I$11:$I$66)</f>
        <v>320</v>
      </c>
      <c r="G4" s="10">
        <f>IFERROR(F4/$F$8,0)</f>
        <v>0.76923076923076927</v>
      </c>
    </row>
    <row r="5" spans="1:7" x14ac:dyDescent="0.2">
      <c r="A5" s="11" t="s">
        <v>44</v>
      </c>
      <c r="B5" s="9">
        <f>COUNTIFS('Priorización MoSCoW'!$J$11:$J$66,A5,'Priorización MoSCoW'!$C$11:$C$66,"RF")</f>
        <v>8</v>
      </c>
      <c r="C5" s="9">
        <f>COUNTIFS('Priorización MoSCoW'!$J$11:$J$66,A5,'Priorización MoSCoW'!$C$11:$C$66,"RNF")</f>
        <v>2</v>
      </c>
      <c r="D5" s="9">
        <f>B5+C5</f>
        <v>10</v>
      </c>
      <c r="E5" s="10">
        <f>IFERROR(D5/$D$8,0)</f>
        <v>0.17857142857142858</v>
      </c>
      <c r="F5" s="9">
        <f>SUMIF('Priorización MoSCoW'!$J$11:$J$66,A5,'Priorización MoSCoW'!$I$11:$I$66)</f>
        <v>63</v>
      </c>
      <c r="G5" s="10">
        <f>IFERROR(F5/$F$8,0)</f>
        <v>0.15144230769230768</v>
      </c>
    </row>
    <row r="6" spans="1:7" x14ac:dyDescent="0.2">
      <c r="A6" s="12" t="s">
        <v>103</v>
      </c>
      <c r="B6" s="9">
        <f>COUNTIFS('Priorización MoSCoW'!$J$11:$J$66,A6,'Priorización MoSCoW'!$C$11:$C$66,"RF")</f>
        <v>4</v>
      </c>
      <c r="C6" s="9">
        <f>COUNTIFS('Priorización MoSCoW'!$J$11:$J$66,A6,'Priorización MoSCoW'!$C$11:$C$66,"RNF")</f>
        <v>0</v>
      </c>
      <c r="D6" s="9">
        <f>B6+C6</f>
        <v>4</v>
      </c>
      <c r="E6" s="10">
        <f>IFERROR(D6/$D$8,0)</f>
        <v>7.1428571428571425E-2</v>
      </c>
      <c r="F6" s="9">
        <f>SUMIF('Priorización MoSCoW'!$J$11:$J$66,A6,'Priorización MoSCoW'!$I$11:$I$66)</f>
        <v>33</v>
      </c>
      <c r="G6" s="10">
        <f>IFERROR(F6/$F$8,0)</f>
        <v>7.9326923076923073E-2</v>
      </c>
    </row>
    <row r="7" spans="1:7" x14ac:dyDescent="0.2">
      <c r="A7" s="13" t="s">
        <v>196</v>
      </c>
      <c r="B7" s="9">
        <f>COUNTIFS('Priorización MoSCoW'!$J$11:$J$66,A7,'Priorización MoSCoW'!$C$11:$C$66,"RF")</f>
        <v>0</v>
      </c>
      <c r="C7" s="9">
        <f>COUNTIFS('Priorización MoSCoW'!$J$11:$J$66,A7,'Priorización MoSCoW'!$C$11:$C$66,"RNF")</f>
        <v>0</v>
      </c>
      <c r="D7" s="9">
        <f>B7+C7</f>
        <v>0</v>
      </c>
      <c r="E7" s="10">
        <f>IFERROR(D7/$D$8,0)</f>
        <v>0</v>
      </c>
      <c r="F7" s="9">
        <f>SUMIF('Priorización MoSCoW'!$J$11:$J$66,A7,'Priorización MoSCoW'!$I$11:$I$66)</f>
        <v>0</v>
      </c>
      <c r="G7" s="10">
        <f>IFERROR(F7/$F$8,0)</f>
        <v>0</v>
      </c>
    </row>
    <row r="8" spans="1:7" x14ac:dyDescent="0.2">
      <c r="A8" s="14" t="s">
        <v>250</v>
      </c>
      <c r="B8" s="14">
        <f t="shared" ref="B8:G8" si="0">SUM(B4:B7)</f>
        <v>42</v>
      </c>
      <c r="C8" s="14">
        <f t="shared" si="0"/>
        <v>14</v>
      </c>
      <c r="D8" s="14">
        <f t="shared" si="0"/>
        <v>56</v>
      </c>
      <c r="E8" s="15">
        <f t="shared" si="0"/>
        <v>1</v>
      </c>
      <c r="F8" s="14">
        <f t="shared" si="0"/>
        <v>416</v>
      </c>
      <c r="G8" s="15">
        <f t="shared" si="0"/>
        <v>1</v>
      </c>
    </row>
    <row r="10" spans="1:7" x14ac:dyDescent="0.2">
      <c r="A10" s="2" t="s">
        <v>251</v>
      </c>
    </row>
    <row r="11" spans="1:7" x14ac:dyDescent="0.2">
      <c r="A11" t="s">
        <v>252</v>
      </c>
    </row>
    <row r="12" spans="1:7" x14ac:dyDescent="0.2">
      <c r="A12" t="s">
        <v>253</v>
      </c>
      <c r="D12" s="16">
        <v>0.6</v>
      </c>
    </row>
    <row r="13" spans="1:7" x14ac:dyDescent="0.2">
      <c r="A13" t="s">
        <v>254</v>
      </c>
      <c r="D13" s="17">
        <f>G4</f>
        <v>0.76923076923076927</v>
      </c>
    </row>
    <row r="14" spans="1:7" x14ac:dyDescent="0.2">
      <c r="A14" t="s">
        <v>255</v>
      </c>
      <c r="D14" s="2" t="str">
        <f>IF(D13&lt;=D12,"Cumple: hay holgura para imprevistos","Supera el límite: ver plan de acción")</f>
        <v>Supera el límite: ver plan de acción</v>
      </c>
    </row>
    <row r="16" spans="1:7" x14ac:dyDescent="0.2">
      <c r="A16" s="2" t="s">
        <v>256</v>
      </c>
    </row>
    <row r="17" spans="1:4" x14ac:dyDescent="0.2">
      <c r="A17" t="s">
        <v>257</v>
      </c>
      <c r="D17" s="18">
        <v>5</v>
      </c>
    </row>
    <row r="18" spans="1:4" x14ac:dyDescent="0.2">
      <c r="A18" t="s">
        <v>258</v>
      </c>
      <c r="D18" s="18">
        <v>8</v>
      </c>
    </row>
    <row r="19" spans="1:4" x14ac:dyDescent="0.2">
      <c r="A19" t="s">
        <v>259</v>
      </c>
      <c r="D19" s="18">
        <v>7</v>
      </c>
    </row>
    <row r="20" spans="1:4" x14ac:dyDescent="0.2">
      <c r="A20" s="2" t="s">
        <v>260</v>
      </c>
      <c r="D20">
        <f>D17*D18*D19</f>
        <v>280</v>
      </c>
    </row>
    <row r="21" spans="1:4" x14ac:dyDescent="0.2">
      <c r="A21" t="s">
        <v>261</v>
      </c>
      <c r="D21">
        <f>F4+F5</f>
        <v>383</v>
      </c>
    </row>
    <row r="22" spans="1:4" x14ac:dyDescent="0.2">
      <c r="A22" s="2" t="s">
        <v>262</v>
      </c>
      <c r="D22">
        <f>D20-D21</f>
        <v>-103</v>
      </c>
    </row>
    <row r="24" spans="1:4" x14ac:dyDescent="0.2">
      <c r="A24" s="2" t="s">
        <v>263</v>
      </c>
    </row>
    <row r="25" spans="1:4" x14ac:dyDescent="0.2">
      <c r="A25" t="s">
        <v>264</v>
      </c>
    </row>
    <row r="26" spans="1:4" x14ac:dyDescent="0.2">
      <c r="A26" t="s">
        <v>265</v>
      </c>
    </row>
    <row r="27" spans="1:4" x14ac:dyDescent="0.2">
      <c r="A27" t="s">
        <v>266</v>
      </c>
    </row>
    <row r="28" spans="1:4" x14ac:dyDescent="0.2">
      <c r="A28" t="s">
        <v>267</v>
      </c>
    </row>
    <row r="30" spans="1:4" x14ac:dyDescent="0.2">
      <c r="A30" s="19"/>
    </row>
  </sheetData>
  <conditionalFormatting sqref="D14">
    <cfRule type="expression" dxfId="1" priority="1">
      <formula>$D$13&lt;=$D$12</formula>
    </cfRule>
    <cfRule type="expression" dxfId="0" priority="2">
      <formula>$D$13&gt;$D$12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/>
  </sheetViews>
  <sheetFormatPr baseColWidth="10" defaultColWidth="8.83203125" defaultRowHeight="15" x14ac:dyDescent="0.2"/>
  <cols>
    <col min="1" max="1" width="10" customWidth="1"/>
    <col min="2" max="2" width="44" customWidth="1"/>
    <col min="3" max="3" width="10" customWidth="1"/>
    <col min="4" max="4" width="44" customWidth="1"/>
    <col min="5" max="5" width="10" customWidth="1"/>
    <col min="6" max="6" width="44" customWidth="1"/>
    <col min="7" max="7" width="10" customWidth="1"/>
    <col min="8" max="8" width="44" customWidth="1"/>
  </cols>
  <sheetData>
    <row r="1" spans="1:8" ht="21" x14ac:dyDescent="0.25">
      <c r="A1" s="7" t="s">
        <v>268</v>
      </c>
    </row>
    <row r="2" spans="1:8" x14ac:dyDescent="0.2">
      <c r="A2" s="19" t="s">
        <v>269</v>
      </c>
    </row>
    <row r="4" spans="1:8" ht="16" x14ac:dyDescent="0.2">
      <c r="A4" s="41" t="s">
        <v>270</v>
      </c>
      <c r="B4" s="39"/>
      <c r="C4" s="44" t="s">
        <v>271</v>
      </c>
      <c r="D4" s="39"/>
      <c r="E4" s="43" t="s">
        <v>272</v>
      </c>
      <c r="F4" s="39"/>
      <c r="G4" s="42" t="s">
        <v>273</v>
      </c>
      <c r="H4" s="39"/>
    </row>
    <row r="5" spans="1:8" ht="40" customHeight="1" x14ac:dyDescent="0.2">
      <c r="A5" s="20" t="s">
        <v>27</v>
      </c>
      <c r="B5" s="21" t="s">
        <v>28</v>
      </c>
      <c r="C5" s="22" t="s">
        <v>41</v>
      </c>
      <c r="D5" s="23" t="s">
        <v>42</v>
      </c>
      <c r="E5" s="24" t="s">
        <v>100</v>
      </c>
      <c r="F5" s="25" t="s">
        <v>101</v>
      </c>
      <c r="G5" s="26" t="s">
        <v>102</v>
      </c>
      <c r="H5" s="27" t="s">
        <v>274</v>
      </c>
    </row>
    <row r="6" spans="1:8" ht="40" customHeight="1" x14ac:dyDescent="0.2">
      <c r="A6" s="20" t="s">
        <v>37</v>
      </c>
      <c r="B6" s="21" t="s">
        <v>38</v>
      </c>
      <c r="C6" s="22" t="s">
        <v>59</v>
      </c>
      <c r="D6" s="23" t="s">
        <v>60</v>
      </c>
      <c r="E6" s="24" t="s">
        <v>122</v>
      </c>
      <c r="F6" s="25" t="s">
        <v>123</v>
      </c>
      <c r="G6" s="26" t="s">
        <v>102</v>
      </c>
      <c r="H6" s="27" t="s">
        <v>275</v>
      </c>
    </row>
    <row r="7" spans="1:8" ht="40" customHeight="1" x14ac:dyDescent="0.2">
      <c r="A7" s="20" t="s">
        <v>47</v>
      </c>
      <c r="B7" s="21" t="s">
        <v>48</v>
      </c>
      <c r="C7" s="22" t="s">
        <v>68</v>
      </c>
      <c r="D7" s="23" t="s">
        <v>69</v>
      </c>
      <c r="E7" s="24" t="s">
        <v>185</v>
      </c>
      <c r="F7" s="25" t="s">
        <v>186</v>
      </c>
      <c r="G7" s="26" t="s">
        <v>102</v>
      </c>
      <c r="H7" s="27" t="s">
        <v>276</v>
      </c>
    </row>
    <row r="8" spans="1:8" ht="40" customHeight="1" x14ac:dyDescent="0.2">
      <c r="A8" s="20" t="s">
        <v>51</v>
      </c>
      <c r="B8" s="21" t="s">
        <v>52</v>
      </c>
      <c r="C8" s="22" t="s">
        <v>72</v>
      </c>
      <c r="D8" s="23" t="s">
        <v>73</v>
      </c>
      <c r="E8" s="24" t="s">
        <v>192</v>
      </c>
      <c r="F8" s="25" t="s">
        <v>193</v>
      </c>
      <c r="G8" s="26" t="s">
        <v>102</v>
      </c>
      <c r="H8" s="27" t="s">
        <v>277</v>
      </c>
    </row>
    <row r="9" spans="1:8" ht="40" customHeight="1" x14ac:dyDescent="0.2">
      <c r="A9" s="20" t="s">
        <v>55</v>
      </c>
      <c r="B9" s="21" t="s">
        <v>56</v>
      </c>
      <c r="C9" s="22" t="s">
        <v>96</v>
      </c>
      <c r="D9" s="23" t="s">
        <v>97</v>
      </c>
      <c r="G9" s="26" t="s">
        <v>102</v>
      </c>
      <c r="H9" s="27" t="s">
        <v>278</v>
      </c>
    </row>
    <row r="10" spans="1:8" ht="40" customHeight="1" x14ac:dyDescent="0.2">
      <c r="A10" s="20" t="s">
        <v>62</v>
      </c>
      <c r="B10" s="21" t="s">
        <v>63</v>
      </c>
      <c r="C10" s="22" t="s">
        <v>155</v>
      </c>
      <c r="D10" s="23" t="s">
        <v>156</v>
      </c>
    </row>
    <row r="11" spans="1:8" ht="40" customHeight="1" x14ac:dyDescent="0.2">
      <c r="A11" s="20" t="s">
        <v>76</v>
      </c>
      <c r="B11" s="21" t="s">
        <v>77</v>
      </c>
      <c r="C11" s="22" t="s">
        <v>162</v>
      </c>
      <c r="D11" s="23" t="s">
        <v>163</v>
      </c>
    </row>
    <row r="12" spans="1:8" ht="40" customHeight="1" x14ac:dyDescent="0.2">
      <c r="A12" s="20" t="s">
        <v>82</v>
      </c>
      <c r="B12" s="21" t="s">
        <v>83</v>
      </c>
      <c r="C12" s="22" t="s">
        <v>188</v>
      </c>
      <c r="D12" s="23" t="s">
        <v>189</v>
      </c>
    </row>
    <row r="13" spans="1:8" ht="40" customHeight="1" x14ac:dyDescent="0.2">
      <c r="A13" s="20" t="s">
        <v>85</v>
      </c>
      <c r="B13" s="21" t="s">
        <v>86</v>
      </c>
      <c r="C13" s="22" t="s">
        <v>207</v>
      </c>
      <c r="D13" s="23" t="s">
        <v>208</v>
      </c>
    </row>
    <row r="14" spans="1:8" ht="40" customHeight="1" x14ac:dyDescent="0.2">
      <c r="A14" s="20" t="s">
        <v>88</v>
      </c>
      <c r="B14" s="21" t="s">
        <v>89</v>
      </c>
      <c r="C14" s="22" t="s">
        <v>230</v>
      </c>
      <c r="D14" s="23" t="s">
        <v>231</v>
      </c>
    </row>
    <row r="15" spans="1:8" ht="40" customHeight="1" x14ac:dyDescent="0.2">
      <c r="A15" s="20" t="s">
        <v>92</v>
      </c>
      <c r="B15" s="21" t="s">
        <v>93</v>
      </c>
    </row>
    <row r="16" spans="1:8" ht="40" customHeight="1" x14ac:dyDescent="0.2">
      <c r="A16" s="20" t="s">
        <v>106</v>
      </c>
      <c r="B16" s="21" t="s">
        <v>107</v>
      </c>
    </row>
    <row r="17" spans="1:2" ht="40" customHeight="1" x14ac:dyDescent="0.2">
      <c r="A17" s="20" t="s">
        <v>109</v>
      </c>
      <c r="B17" s="21" t="s">
        <v>110</v>
      </c>
    </row>
    <row r="18" spans="1:2" ht="40" customHeight="1" x14ac:dyDescent="0.2">
      <c r="A18" s="20" t="s">
        <v>114</v>
      </c>
      <c r="B18" s="21" t="s">
        <v>115</v>
      </c>
    </row>
    <row r="19" spans="1:2" ht="40" customHeight="1" x14ac:dyDescent="0.2">
      <c r="A19" s="20" t="s">
        <v>119</v>
      </c>
      <c r="B19" s="21" t="s">
        <v>120</v>
      </c>
    </row>
    <row r="20" spans="1:2" ht="40" customHeight="1" x14ac:dyDescent="0.2">
      <c r="A20" s="20" t="s">
        <v>126</v>
      </c>
      <c r="B20" s="21" t="s">
        <v>127</v>
      </c>
    </row>
    <row r="21" spans="1:2" ht="40" customHeight="1" x14ac:dyDescent="0.2">
      <c r="A21" s="20" t="s">
        <v>131</v>
      </c>
      <c r="B21" s="21" t="s">
        <v>132</v>
      </c>
    </row>
    <row r="22" spans="1:2" ht="40" customHeight="1" x14ac:dyDescent="0.2">
      <c r="A22" s="20" t="s">
        <v>134</v>
      </c>
      <c r="B22" s="21" t="s">
        <v>135</v>
      </c>
    </row>
    <row r="23" spans="1:2" ht="40" customHeight="1" x14ac:dyDescent="0.2">
      <c r="A23" s="20" t="s">
        <v>137</v>
      </c>
      <c r="B23" s="21" t="s">
        <v>138</v>
      </c>
    </row>
    <row r="24" spans="1:2" ht="40" customHeight="1" x14ac:dyDescent="0.2">
      <c r="A24" s="20" t="s">
        <v>141</v>
      </c>
      <c r="B24" s="21" t="s">
        <v>142</v>
      </c>
    </row>
    <row r="25" spans="1:2" ht="40" customHeight="1" x14ac:dyDescent="0.2">
      <c r="A25" s="20" t="s">
        <v>144</v>
      </c>
      <c r="B25" s="21" t="s">
        <v>145</v>
      </c>
    </row>
    <row r="26" spans="1:2" ht="40" customHeight="1" x14ac:dyDescent="0.2">
      <c r="A26" s="20" t="s">
        <v>147</v>
      </c>
      <c r="B26" s="21" t="s">
        <v>148</v>
      </c>
    </row>
    <row r="27" spans="1:2" ht="40" customHeight="1" x14ac:dyDescent="0.2">
      <c r="A27" s="20" t="s">
        <v>151</v>
      </c>
      <c r="B27" s="21" t="s">
        <v>152</v>
      </c>
    </row>
    <row r="28" spans="1:2" ht="40" customHeight="1" x14ac:dyDescent="0.2">
      <c r="A28" s="20" t="s">
        <v>159</v>
      </c>
      <c r="B28" s="21" t="s">
        <v>160</v>
      </c>
    </row>
    <row r="29" spans="1:2" ht="40" customHeight="1" x14ac:dyDescent="0.2">
      <c r="A29" s="20" t="s">
        <v>165</v>
      </c>
      <c r="B29" s="21" t="s">
        <v>166</v>
      </c>
    </row>
    <row r="30" spans="1:2" ht="40" customHeight="1" x14ac:dyDescent="0.2">
      <c r="A30" s="20" t="s">
        <v>169</v>
      </c>
      <c r="B30" s="21" t="s">
        <v>170</v>
      </c>
    </row>
    <row r="31" spans="1:2" ht="40" customHeight="1" x14ac:dyDescent="0.2">
      <c r="A31" s="20" t="s">
        <v>172</v>
      </c>
      <c r="B31" s="21" t="s">
        <v>173</v>
      </c>
    </row>
    <row r="32" spans="1:2" ht="40" customHeight="1" x14ac:dyDescent="0.2">
      <c r="A32" s="20" t="s">
        <v>175</v>
      </c>
      <c r="B32" s="21" t="s">
        <v>176</v>
      </c>
    </row>
    <row r="33" spans="1:2" ht="40" customHeight="1" x14ac:dyDescent="0.2">
      <c r="A33" s="20" t="s">
        <v>178</v>
      </c>
      <c r="B33" s="21" t="s">
        <v>179</v>
      </c>
    </row>
    <row r="34" spans="1:2" ht="40" customHeight="1" x14ac:dyDescent="0.2">
      <c r="A34" s="20" t="s">
        <v>181</v>
      </c>
      <c r="B34" s="21" t="s">
        <v>182</v>
      </c>
    </row>
    <row r="35" spans="1:2" ht="40" customHeight="1" x14ac:dyDescent="0.2">
      <c r="A35" s="20" t="s">
        <v>197</v>
      </c>
      <c r="B35" s="21" t="s">
        <v>198</v>
      </c>
    </row>
    <row r="36" spans="1:2" ht="40" customHeight="1" x14ac:dyDescent="0.2">
      <c r="A36" s="20" t="s">
        <v>201</v>
      </c>
      <c r="B36" s="21" t="s">
        <v>202</v>
      </c>
    </row>
    <row r="37" spans="1:2" ht="40" customHeight="1" x14ac:dyDescent="0.2">
      <c r="A37" s="20" t="s">
        <v>204</v>
      </c>
      <c r="B37" s="21" t="s">
        <v>205</v>
      </c>
    </row>
    <row r="38" spans="1:2" ht="40" customHeight="1" x14ac:dyDescent="0.2">
      <c r="A38" s="20" t="s">
        <v>210</v>
      </c>
      <c r="B38" s="21" t="s">
        <v>211</v>
      </c>
    </row>
    <row r="39" spans="1:2" ht="40" customHeight="1" x14ac:dyDescent="0.2">
      <c r="A39" s="20" t="s">
        <v>215</v>
      </c>
      <c r="B39" s="21" t="s">
        <v>216</v>
      </c>
    </row>
    <row r="40" spans="1:2" ht="40" customHeight="1" x14ac:dyDescent="0.2">
      <c r="A40" s="20" t="s">
        <v>218</v>
      </c>
      <c r="B40" s="21" t="s">
        <v>219</v>
      </c>
    </row>
    <row r="41" spans="1:2" ht="40" customHeight="1" x14ac:dyDescent="0.2">
      <c r="A41" s="20" t="s">
        <v>221</v>
      </c>
      <c r="B41" s="21" t="s">
        <v>222</v>
      </c>
    </row>
    <row r="42" spans="1:2" ht="40" customHeight="1" x14ac:dyDescent="0.2">
      <c r="A42" s="20" t="s">
        <v>224</v>
      </c>
      <c r="B42" s="21" t="s">
        <v>225</v>
      </c>
    </row>
    <row r="43" spans="1:2" ht="40" customHeight="1" x14ac:dyDescent="0.2">
      <c r="A43" s="20" t="s">
        <v>227</v>
      </c>
      <c r="B43" s="21" t="s">
        <v>228</v>
      </c>
    </row>
    <row r="44" spans="1:2" ht="40" customHeight="1" x14ac:dyDescent="0.2">
      <c r="A44" s="20" t="s">
        <v>233</v>
      </c>
      <c r="B44" s="21" t="s">
        <v>234</v>
      </c>
    </row>
    <row r="45" spans="1:2" ht="39" x14ac:dyDescent="0.2">
      <c r="A45" s="20" t="s">
        <v>236</v>
      </c>
      <c r="B45" s="21" t="s">
        <v>237</v>
      </c>
    </row>
    <row r="46" spans="1:2" ht="26" x14ac:dyDescent="0.2">
      <c r="A46" s="20" t="s">
        <v>239</v>
      </c>
      <c r="B46" s="21" t="s">
        <v>240</v>
      </c>
    </row>
  </sheetData>
  <mergeCells count="4">
    <mergeCell ref="A4:B4"/>
    <mergeCell ref="G4:H4"/>
    <mergeCell ref="E4:F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baseColWidth="10" defaultColWidth="8.83203125" defaultRowHeight="15" x14ac:dyDescent="0.2"/>
  <cols>
    <col min="1" max="1" width="14" customWidth="1"/>
    <col min="2" max="3" width="60" customWidth="1"/>
  </cols>
  <sheetData>
    <row r="1" spans="1:3" ht="21" x14ac:dyDescent="0.25">
      <c r="A1" s="7" t="s">
        <v>279</v>
      </c>
    </row>
    <row r="3" spans="1:3" ht="16" x14ac:dyDescent="0.2">
      <c r="A3" s="3" t="s">
        <v>243</v>
      </c>
      <c r="B3" s="3" t="s">
        <v>280</v>
      </c>
      <c r="C3" s="3" t="s">
        <v>281</v>
      </c>
    </row>
    <row r="4" spans="1:3" ht="48" customHeight="1" x14ac:dyDescent="0.2">
      <c r="A4" s="28" t="s">
        <v>32</v>
      </c>
      <c r="B4" s="29" t="s">
        <v>282</v>
      </c>
      <c r="C4" s="29" t="s">
        <v>283</v>
      </c>
    </row>
    <row r="5" spans="1:3" ht="48" customHeight="1" x14ac:dyDescent="0.2">
      <c r="A5" s="30" t="s">
        <v>44</v>
      </c>
      <c r="B5" s="29" t="s">
        <v>284</v>
      </c>
      <c r="C5" s="29" t="s">
        <v>285</v>
      </c>
    </row>
    <row r="6" spans="1:3" ht="48" customHeight="1" x14ac:dyDescent="0.2">
      <c r="A6" s="31" t="s">
        <v>103</v>
      </c>
      <c r="B6" s="29" t="s">
        <v>286</v>
      </c>
      <c r="C6" s="29" t="s">
        <v>287</v>
      </c>
    </row>
    <row r="7" spans="1:3" ht="48" customHeight="1" x14ac:dyDescent="0.2">
      <c r="A7" s="32" t="s">
        <v>196</v>
      </c>
      <c r="B7" s="29" t="s">
        <v>288</v>
      </c>
      <c r="C7" s="29" t="s">
        <v>289</v>
      </c>
    </row>
    <row r="10" spans="1:3" x14ac:dyDescent="0.2">
      <c r="A10" s="45" t="s">
        <v>290</v>
      </c>
      <c r="B10" s="39"/>
      <c r="C10" s="39"/>
    </row>
    <row r="11" spans="1:3" x14ac:dyDescent="0.2">
      <c r="A11" s="46" t="s">
        <v>291</v>
      </c>
      <c r="B11" s="39"/>
      <c r="C11" s="39"/>
    </row>
    <row r="12" spans="1:3" x14ac:dyDescent="0.2">
      <c r="A12" s="46" t="s">
        <v>292</v>
      </c>
      <c r="B12" s="39"/>
      <c r="C12" s="39"/>
    </row>
    <row r="13" spans="1:3" x14ac:dyDescent="0.2">
      <c r="A13" s="46" t="s">
        <v>293</v>
      </c>
      <c r="B13" s="39"/>
      <c r="C13" s="39"/>
    </row>
    <row r="14" spans="1:3" x14ac:dyDescent="0.2">
      <c r="A14" s="46" t="s">
        <v>294</v>
      </c>
      <c r="B14" s="39"/>
      <c r="C14" s="39"/>
    </row>
    <row r="15" spans="1:3" x14ac:dyDescent="0.2">
      <c r="A15" s="46" t="s">
        <v>295</v>
      </c>
      <c r="B15" s="39"/>
      <c r="C15" s="39"/>
    </row>
  </sheetData>
  <mergeCells count="6">
    <mergeCell ref="A15:C15"/>
    <mergeCell ref="A10:C10"/>
    <mergeCell ref="A13:C13"/>
    <mergeCell ref="A11:C11"/>
    <mergeCell ref="A14:C14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/>
  </sheetViews>
  <sheetFormatPr baseColWidth="10" defaultColWidth="8.83203125" defaultRowHeight="15" x14ac:dyDescent="0.2"/>
  <cols>
    <col min="1" max="1" width="13" customWidth="1"/>
    <col min="2" max="2" width="40" customWidth="1"/>
    <col min="3" max="3" width="26" customWidth="1"/>
    <col min="4" max="4" width="12" customWidth="1"/>
  </cols>
  <sheetData>
    <row r="1" spans="1:4" ht="21" x14ac:dyDescent="0.25">
      <c r="A1" s="7" t="s">
        <v>296</v>
      </c>
    </row>
    <row r="3" spans="1:4" ht="16" x14ac:dyDescent="0.2">
      <c r="A3" s="3" t="s">
        <v>297</v>
      </c>
      <c r="B3" s="3" t="s">
        <v>298</v>
      </c>
      <c r="C3" s="3" t="s">
        <v>299</v>
      </c>
      <c r="D3" s="3" t="s">
        <v>300</v>
      </c>
    </row>
    <row r="4" spans="1:4" x14ac:dyDescent="0.2">
      <c r="A4" s="33" t="s">
        <v>30</v>
      </c>
      <c r="B4" s="34" t="s">
        <v>301</v>
      </c>
      <c r="C4" s="34" t="s">
        <v>27</v>
      </c>
      <c r="D4" s="35" t="s">
        <v>32</v>
      </c>
    </row>
    <row r="5" spans="1:4" x14ac:dyDescent="0.2">
      <c r="A5" s="33" t="s">
        <v>39</v>
      </c>
      <c r="B5" s="34" t="s">
        <v>302</v>
      </c>
      <c r="C5" s="34" t="s">
        <v>37</v>
      </c>
      <c r="D5" s="35" t="s">
        <v>32</v>
      </c>
    </row>
    <row r="6" spans="1:4" x14ac:dyDescent="0.2">
      <c r="A6" s="33" t="s">
        <v>53</v>
      </c>
      <c r="B6" s="34" t="s">
        <v>303</v>
      </c>
      <c r="C6" s="34" t="s">
        <v>51</v>
      </c>
      <c r="D6" s="35" t="s">
        <v>32</v>
      </c>
    </row>
    <row r="7" spans="1:4" x14ac:dyDescent="0.2">
      <c r="A7" s="33" t="s">
        <v>57</v>
      </c>
      <c r="B7" s="34" t="s">
        <v>304</v>
      </c>
      <c r="C7" s="34" t="s">
        <v>55</v>
      </c>
      <c r="D7" s="35" t="s">
        <v>32</v>
      </c>
    </row>
    <row r="8" spans="1:4" x14ac:dyDescent="0.2">
      <c r="A8" s="33" t="s">
        <v>49</v>
      </c>
      <c r="B8" s="34" t="s">
        <v>305</v>
      </c>
      <c r="C8" s="34" t="s">
        <v>47</v>
      </c>
      <c r="D8" s="35" t="s">
        <v>32</v>
      </c>
    </row>
    <row r="9" spans="1:4" x14ac:dyDescent="0.2">
      <c r="A9" s="33" t="s">
        <v>70</v>
      </c>
      <c r="B9" s="34" t="s">
        <v>306</v>
      </c>
      <c r="C9" s="34" t="s">
        <v>68</v>
      </c>
      <c r="D9" s="36" t="s">
        <v>44</v>
      </c>
    </row>
    <row r="10" spans="1:4" x14ac:dyDescent="0.2">
      <c r="A10" s="33" t="s">
        <v>74</v>
      </c>
      <c r="B10" s="34" t="s">
        <v>307</v>
      </c>
      <c r="C10" s="34" t="s">
        <v>72</v>
      </c>
      <c r="D10" s="36" t="s">
        <v>44</v>
      </c>
    </row>
    <row r="11" spans="1:4" x14ac:dyDescent="0.2">
      <c r="A11" s="33" t="s">
        <v>64</v>
      </c>
      <c r="B11" s="34" t="s">
        <v>308</v>
      </c>
      <c r="C11" s="34" t="s">
        <v>309</v>
      </c>
      <c r="D11" s="35" t="s">
        <v>32</v>
      </c>
    </row>
    <row r="12" spans="1:4" x14ac:dyDescent="0.2">
      <c r="A12" s="33" t="s">
        <v>167</v>
      </c>
      <c r="B12" s="34" t="s">
        <v>310</v>
      </c>
      <c r="C12" s="34" t="s">
        <v>311</v>
      </c>
      <c r="D12" s="35" t="s">
        <v>32</v>
      </c>
    </row>
    <row r="13" spans="1:4" x14ac:dyDescent="0.2">
      <c r="A13" s="33" t="s">
        <v>78</v>
      </c>
      <c r="B13" s="34" t="s">
        <v>312</v>
      </c>
      <c r="C13" s="34" t="s">
        <v>313</v>
      </c>
      <c r="D13" s="35" t="s">
        <v>32</v>
      </c>
    </row>
    <row r="14" spans="1:4" x14ac:dyDescent="0.2">
      <c r="A14" s="33" t="s">
        <v>314</v>
      </c>
      <c r="B14" s="34" t="s">
        <v>315</v>
      </c>
      <c r="C14" s="34" t="s">
        <v>92</v>
      </c>
      <c r="D14" s="35" t="s">
        <v>32</v>
      </c>
    </row>
    <row r="15" spans="1:4" x14ac:dyDescent="0.2">
      <c r="A15" s="33" t="s">
        <v>98</v>
      </c>
      <c r="B15" s="34" t="s">
        <v>316</v>
      </c>
      <c r="C15" s="34" t="s">
        <v>96</v>
      </c>
      <c r="D15" s="36" t="s">
        <v>44</v>
      </c>
    </row>
    <row r="16" spans="1:4" x14ac:dyDescent="0.2">
      <c r="A16" s="33" t="s">
        <v>111</v>
      </c>
      <c r="B16" s="34" t="s">
        <v>317</v>
      </c>
      <c r="C16" s="34" t="s">
        <v>109</v>
      </c>
      <c r="D16" s="35" t="s">
        <v>32</v>
      </c>
    </row>
    <row r="17" spans="1:4" x14ac:dyDescent="0.2">
      <c r="A17" s="33" t="s">
        <v>116</v>
      </c>
      <c r="B17" s="34" t="s">
        <v>318</v>
      </c>
      <c r="C17" s="34" t="s">
        <v>319</v>
      </c>
      <c r="D17" s="35" t="s">
        <v>32</v>
      </c>
    </row>
    <row r="18" spans="1:4" x14ac:dyDescent="0.2">
      <c r="A18" s="33" t="s">
        <v>124</v>
      </c>
      <c r="B18" s="34" t="s">
        <v>320</v>
      </c>
      <c r="C18" s="34" t="s">
        <v>122</v>
      </c>
      <c r="D18" s="37" t="s">
        <v>103</v>
      </c>
    </row>
    <row r="19" spans="1:4" x14ac:dyDescent="0.2">
      <c r="A19" s="33" t="s">
        <v>128</v>
      </c>
      <c r="B19" s="34" t="s">
        <v>321</v>
      </c>
      <c r="C19" s="34" t="s">
        <v>322</v>
      </c>
      <c r="D19" s="35" t="s">
        <v>32</v>
      </c>
    </row>
    <row r="20" spans="1:4" x14ac:dyDescent="0.2">
      <c r="A20" s="33" t="s">
        <v>149</v>
      </c>
      <c r="B20" s="34" t="s">
        <v>323</v>
      </c>
      <c r="C20" s="34" t="s">
        <v>147</v>
      </c>
      <c r="D20" s="35" t="s">
        <v>32</v>
      </c>
    </row>
    <row r="21" spans="1:4" x14ac:dyDescent="0.2">
      <c r="A21" s="33" t="s">
        <v>153</v>
      </c>
      <c r="B21" s="34" t="s">
        <v>324</v>
      </c>
      <c r="C21" s="34" t="s">
        <v>325</v>
      </c>
      <c r="D21" s="35" t="s">
        <v>32</v>
      </c>
    </row>
    <row r="22" spans="1:4" x14ac:dyDescent="0.2">
      <c r="A22" s="33" t="s">
        <v>157</v>
      </c>
      <c r="B22" s="34" t="s">
        <v>326</v>
      </c>
      <c r="C22" s="34" t="s">
        <v>327</v>
      </c>
      <c r="D22" s="36" t="s">
        <v>44</v>
      </c>
    </row>
    <row r="23" spans="1:4" x14ac:dyDescent="0.2">
      <c r="A23" s="33" t="s">
        <v>194</v>
      </c>
      <c r="B23" s="34" t="s">
        <v>328</v>
      </c>
      <c r="C23" s="34" t="s">
        <v>192</v>
      </c>
      <c r="D23" s="37" t="s">
        <v>103</v>
      </c>
    </row>
    <row r="24" spans="1:4" x14ac:dyDescent="0.2">
      <c r="A24" s="33" t="s">
        <v>183</v>
      </c>
      <c r="B24" s="34" t="s">
        <v>329</v>
      </c>
      <c r="C24" s="34" t="s">
        <v>181</v>
      </c>
      <c r="D24" s="35" t="s">
        <v>32</v>
      </c>
    </row>
    <row r="25" spans="1:4" x14ac:dyDescent="0.2">
      <c r="A25" s="33" t="s">
        <v>139</v>
      </c>
      <c r="B25" s="34" t="s">
        <v>330</v>
      </c>
      <c r="C25" s="34" t="s">
        <v>137</v>
      </c>
      <c r="D25" s="35" t="s">
        <v>32</v>
      </c>
    </row>
    <row r="26" spans="1:4" x14ac:dyDescent="0.2">
      <c r="A26" s="33" t="s">
        <v>43</v>
      </c>
      <c r="B26" s="34" t="s">
        <v>331</v>
      </c>
      <c r="C26" s="34" t="s">
        <v>332</v>
      </c>
      <c r="D26" s="36" t="s">
        <v>44</v>
      </c>
    </row>
    <row r="27" spans="1:4" x14ac:dyDescent="0.2">
      <c r="A27" s="33" t="s">
        <v>190</v>
      </c>
      <c r="B27" s="34" t="s">
        <v>333</v>
      </c>
      <c r="C27" s="34" t="s">
        <v>188</v>
      </c>
      <c r="D27" s="3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Priorización MoSCoW</vt:lpstr>
      <vt:lpstr>Resumen y control</vt:lpstr>
      <vt:lpstr>Tablero MoSCoW</vt:lpstr>
      <vt:lpstr>Criterios</vt:lpstr>
      <vt:lpstr>Casos de uso</vt:lpstr>
      <vt:lpstr>'Priorización MoSCoW'!Títulos_a_imprimir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Ospina Giraldo</cp:lastModifiedBy>
  <dcterms:created xsi:type="dcterms:W3CDTF">2026-10-11T15:20:39Z</dcterms:created>
  <dcterms:modified xsi:type="dcterms:W3CDTF">2026-10-11T15:37:27Z</dcterms:modified>
</cp:coreProperties>
</file>